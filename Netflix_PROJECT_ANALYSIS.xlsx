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caa635e774562e2/Documents/"/>
    </mc:Choice>
  </mc:AlternateContent>
  <xr:revisionPtr revIDLastSave="0" documentId="8_{9EDF3C33-3D5A-4E51-B284-6D567489DA4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Netflix Data" sheetId="1" r:id="rId1"/>
    <sheet name="Lists" sheetId="5" r:id="rId2"/>
    <sheet name="Charts" sheetId="4" r:id="rId3"/>
    <sheet name="Pivot Analysis" sheetId="2" r:id="rId4"/>
    <sheet name="Insight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  <c r="M4" i="1"/>
  <c r="M3" i="1"/>
  <c r="M2" i="1"/>
</calcChain>
</file>

<file path=xl/sharedStrings.xml><?xml version="1.0" encoding="utf-8"?>
<sst xmlns="http://schemas.openxmlformats.org/spreadsheetml/2006/main" count="703" uniqueCount="174">
  <si>
    <t>Title</t>
  </si>
  <si>
    <t>Type</t>
  </si>
  <si>
    <t>Genre</t>
  </si>
  <si>
    <t>Release Year</t>
  </si>
  <si>
    <t>Country</t>
  </si>
  <si>
    <t>Duration (min)</t>
  </si>
  <si>
    <t>IMDb Rating</t>
  </si>
  <si>
    <t>Views (Millions)</t>
  </si>
  <si>
    <t>Release Month</t>
  </si>
  <si>
    <t>Language</t>
  </si>
  <si>
    <t>Summary Formulas</t>
  </si>
  <si>
    <t>Stranger Things</t>
  </si>
  <si>
    <t>Series</t>
  </si>
  <si>
    <t>Drama</t>
  </si>
  <si>
    <t>India</t>
  </si>
  <si>
    <t>December</t>
  </si>
  <si>
    <t>Arabic</t>
  </si>
  <si>
    <t>Average Views (M):</t>
  </si>
  <si>
    <t>Squid Game</t>
  </si>
  <si>
    <t>Romance</t>
  </si>
  <si>
    <t>USA</t>
  </si>
  <si>
    <t>January</t>
  </si>
  <si>
    <t>Max Views (M):</t>
  </si>
  <si>
    <t>Money Heist</t>
  </si>
  <si>
    <t>Crime</t>
  </si>
  <si>
    <t>Japan</t>
  </si>
  <si>
    <t>Spanish</t>
  </si>
  <si>
    <t>Min Views (M):</t>
  </si>
  <si>
    <t>Wednesday</t>
  </si>
  <si>
    <t>Movie</t>
  </si>
  <si>
    <t>Horror</t>
  </si>
  <si>
    <t>Spain</t>
  </si>
  <si>
    <t>February</t>
  </si>
  <si>
    <t>German</t>
  </si>
  <si>
    <t>Average IMDb Rating:</t>
  </si>
  <si>
    <t>The Crown</t>
  </si>
  <si>
    <t>UK</t>
  </si>
  <si>
    <t>Bridgerton</t>
  </si>
  <si>
    <t>Sci-Fi</t>
  </si>
  <si>
    <t>Australia</t>
  </si>
  <si>
    <t>Korean</t>
  </si>
  <si>
    <t>The Witcher</t>
  </si>
  <si>
    <t>Comedy</t>
  </si>
  <si>
    <t>South Korea</t>
  </si>
  <si>
    <t>May</t>
  </si>
  <si>
    <t>Portuguese</t>
  </si>
  <si>
    <t>Ozark</t>
  </si>
  <si>
    <t>France</t>
  </si>
  <si>
    <t>November</t>
  </si>
  <si>
    <t>Narcos</t>
  </si>
  <si>
    <t>Action</t>
  </si>
  <si>
    <t>Brazil</t>
  </si>
  <si>
    <t>Black Mirror</t>
  </si>
  <si>
    <t>House of Cards</t>
  </si>
  <si>
    <t>Mystery</t>
  </si>
  <si>
    <t>The Umbrella Academy</t>
  </si>
  <si>
    <t>July</t>
  </si>
  <si>
    <t>Sex Education</t>
  </si>
  <si>
    <t>Germany</t>
  </si>
  <si>
    <t>March</t>
  </si>
  <si>
    <t>Lupin</t>
  </si>
  <si>
    <t>September</t>
  </si>
  <si>
    <t>French</t>
  </si>
  <si>
    <t>Elite</t>
  </si>
  <si>
    <t>Japanese</t>
  </si>
  <si>
    <t>Dark</t>
  </si>
  <si>
    <t>The Queen's Gambit</t>
  </si>
  <si>
    <t>Fantasy</t>
  </si>
  <si>
    <t>Mexico</t>
  </si>
  <si>
    <t>April</t>
  </si>
  <si>
    <t>Mindhunter</t>
  </si>
  <si>
    <t>Canada</t>
  </si>
  <si>
    <t>13 Reasons Why</t>
  </si>
  <si>
    <t>Lucifer</t>
  </si>
  <si>
    <t>Emily in Paris</t>
  </si>
  <si>
    <t>The Last Kingdom</t>
  </si>
  <si>
    <t>Peaky Blinders</t>
  </si>
  <si>
    <t>English</t>
  </si>
  <si>
    <t>Shadow and Bone</t>
  </si>
  <si>
    <t>Call My Agent</t>
  </si>
  <si>
    <t>Russian Doll</t>
  </si>
  <si>
    <t>Breaking Bad</t>
  </si>
  <si>
    <t>Animation</t>
  </si>
  <si>
    <t>Better Call Saul</t>
  </si>
  <si>
    <t>Documentary</t>
  </si>
  <si>
    <t>Altered Carbon</t>
  </si>
  <si>
    <t>The Haunting of Hill House</t>
  </si>
  <si>
    <t>August</t>
  </si>
  <si>
    <t>Daredevil</t>
  </si>
  <si>
    <t>Jessica Jones</t>
  </si>
  <si>
    <t>The Gray Man</t>
  </si>
  <si>
    <t>Red Notice</t>
  </si>
  <si>
    <t>Extraction</t>
  </si>
  <si>
    <t>Thriller</t>
  </si>
  <si>
    <t>Bird Box</t>
  </si>
  <si>
    <t>Don't Look Up</t>
  </si>
  <si>
    <t>Glass Onion</t>
  </si>
  <si>
    <t>Enola Holmes</t>
  </si>
  <si>
    <t>Army of the Dead</t>
  </si>
  <si>
    <t>June</t>
  </si>
  <si>
    <t>The Old Guard</t>
  </si>
  <si>
    <t>Murder Mystery</t>
  </si>
  <si>
    <t>To All the Boys I've Loved Before</t>
  </si>
  <si>
    <t>The Kissing Booth</t>
  </si>
  <si>
    <t>All of Us Are Dead</t>
  </si>
  <si>
    <t>Hindi</t>
  </si>
  <si>
    <t>Kingdom</t>
  </si>
  <si>
    <t>Sweet Home</t>
  </si>
  <si>
    <t>Squid Game: The Challenge</t>
  </si>
  <si>
    <t>Love, Death &amp; Robots</t>
  </si>
  <si>
    <t>Hilda</t>
  </si>
  <si>
    <t>A Series of Unfortunate Events</t>
  </si>
  <si>
    <t>Narcos: Mexico</t>
  </si>
  <si>
    <t>The Rain</t>
  </si>
  <si>
    <t>Dark Desire</t>
  </si>
  <si>
    <t>Elite Short Stories</t>
  </si>
  <si>
    <t>Barbarians</t>
  </si>
  <si>
    <t>October</t>
  </si>
  <si>
    <t>Money Heist: Korea – Joint Economic Area</t>
  </si>
  <si>
    <t>1899</t>
  </si>
  <si>
    <t>The Platform</t>
  </si>
  <si>
    <t>Roma</t>
  </si>
  <si>
    <t>Roma (Not Netflix Original but available)</t>
  </si>
  <si>
    <t>The Mitchells vs The Machines</t>
  </si>
  <si>
    <t>Klaus</t>
  </si>
  <si>
    <t>Bird Box Barcelona</t>
  </si>
  <si>
    <t>The Witcher: Blood Origin</t>
  </si>
  <si>
    <t>The Sandman</t>
  </si>
  <si>
    <t>BoJack Horseman</t>
  </si>
  <si>
    <t>Arrested Development</t>
  </si>
  <si>
    <t>Tiger King</t>
  </si>
  <si>
    <t>Chef's Table</t>
  </si>
  <si>
    <t>Our Planet</t>
  </si>
  <si>
    <t>My Octopus Teacher</t>
  </si>
  <si>
    <t>Making a Murderer</t>
  </si>
  <si>
    <t>The Social Dilemma</t>
  </si>
  <si>
    <t>The Tinder Swindler</t>
  </si>
  <si>
    <t>Fyre: The Greatest Party That Never Happened</t>
  </si>
  <si>
    <t>Squid Game (original)</t>
  </si>
  <si>
    <t>The Devil All the Time</t>
  </si>
  <si>
    <t>I Am Not Okay With This</t>
  </si>
  <si>
    <t>Unorthodox</t>
  </si>
  <si>
    <t>Godless</t>
  </si>
  <si>
    <t>Grace and Frankie</t>
  </si>
  <si>
    <t>When They See Us</t>
  </si>
  <si>
    <t>The Trial of the Chicago 7</t>
  </si>
  <si>
    <t>Ma Rainey's Black Bottom</t>
  </si>
  <si>
    <t>Da 5 Bloods</t>
  </si>
  <si>
    <t>Blue Eye Samurai</t>
  </si>
  <si>
    <t>K-POP Demon Hunters</t>
  </si>
  <si>
    <t>Back to 2023: The Movie</t>
  </si>
  <si>
    <t>The Diplomat</t>
  </si>
  <si>
    <t>The Asset</t>
  </si>
  <si>
    <t>One-Punch Man</t>
  </si>
  <si>
    <t>Cobra Kai</t>
  </si>
  <si>
    <t>Bridgerton: Season 2</t>
  </si>
  <si>
    <t>Wednesday: Season 1</t>
  </si>
  <si>
    <t>Wednesday: Season 2</t>
  </si>
  <si>
    <t>Squid Game: Season 3</t>
  </si>
  <si>
    <t>The Midnight Club</t>
  </si>
  <si>
    <t>Top 10 Title</t>
  </si>
  <si>
    <t>Total Views (M)</t>
  </si>
  <si>
    <t>Avg IMDb</t>
  </si>
  <si>
    <t>Total Views by Genre</t>
  </si>
  <si>
    <t>Total Views by Country</t>
  </si>
  <si>
    <t>Average IMDb Rating by Type</t>
  </si>
  <si>
    <t>Total Views by Release Year</t>
  </si>
  <si>
    <t>1. Total combined views across dataset: 20890.2 million.</t>
  </si>
  <si>
    <t>2. Top title by views: Ma Rainey's Black Bottom with 349.0M views.</t>
  </si>
  <si>
    <t>3. Average IMDb rating across all titles: 6.92.</t>
  </si>
  <si>
    <t>4. Highest-view genre in this dataset: Romance.</t>
  </si>
  <si>
    <t>5. Country contributing most views: Germany.</t>
  </si>
  <si>
    <t>6. Dataset contains 70 series and 30 movies.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</si>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</sst>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Top 10 Most Watched Titles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Lists!$B$1</c:f>
              <c:strCache>
                <c:ptCount val="1"/>
                <c:pt idx="0">
                  <c:v>Views (Millions)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Lists!$A$2:$A$11</c:f>
              <c:strCache>
                <c:ptCount val="10"/>
                <c:pt idx="0">
                  <c:v>Ma Rainey's Black Bottom</c:v>
                </c:pt>
                <c:pt idx="1">
                  <c:v>Lupin</c:v>
                </c:pt>
                <c:pt idx="2">
                  <c:v>Extraction</c:v>
                </c:pt>
                <c:pt idx="3">
                  <c:v>One-Punch Man</c:v>
                </c:pt>
                <c:pt idx="4">
                  <c:v>I Am Not Okay With This</c:v>
                </c:pt>
                <c:pt idx="5">
                  <c:v>Roma (Not Netflix Original but available)</c:v>
                </c:pt>
                <c:pt idx="6">
                  <c:v>13 Reasons Why</c:v>
                </c:pt>
                <c:pt idx="7">
                  <c:v>The Sandman</c:v>
                </c:pt>
                <c:pt idx="8">
                  <c:v>Squid Game: The Challenge</c:v>
                </c:pt>
                <c:pt idx="9">
                  <c:v>All of Us Are Dead</c:v>
                </c:pt>
              </c:strCache>
            </c:strRef>
          </c:cat>
          <c:val>
            <c:numRef>
              <c:f>Lists!$B$2:$B$11</c:f>
              <c:numCache>
                <c:formatCode>General</c:formatCode>
                <c:ptCount val="10"/>
                <c:pt idx="0">
                  <c:v>349</c:v>
                </c:pt>
                <c:pt idx="1">
                  <c:v>348.8</c:v>
                </c:pt>
                <c:pt idx="2">
                  <c:v>348.8</c:v>
                </c:pt>
                <c:pt idx="3">
                  <c:v>347</c:v>
                </c:pt>
                <c:pt idx="4">
                  <c:v>339.6</c:v>
                </c:pt>
                <c:pt idx="5">
                  <c:v>335</c:v>
                </c:pt>
                <c:pt idx="6">
                  <c:v>334.1</c:v>
                </c:pt>
                <c:pt idx="7">
                  <c:v>332.8</c:v>
                </c:pt>
                <c:pt idx="8">
                  <c:v>331.8</c:v>
                </c:pt>
                <c:pt idx="9">
                  <c:v>329.2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B-4A82-B982-A769EEB6D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Title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Views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Views by Country (M)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Lists!$E$1</c:f>
              <c:strCache>
                <c:ptCount val="1"/>
                <c:pt idx="0">
                  <c:v>Total Views (M)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Lists!$D$2:$D$13</c:f>
              <c:strCache>
                <c:ptCount val="12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France</c:v>
                </c:pt>
                <c:pt idx="4">
                  <c:v>Germany</c:v>
                </c:pt>
                <c:pt idx="5">
                  <c:v>India</c:v>
                </c:pt>
                <c:pt idx="6">
                  <c:v>Japan</c:v>
                </c:pt>
                <c:pt idx="7">
                  <c:v>Mexico</c:v>
                </c:pt>
                <c:pt idx="8">
                  <c:v>South Korea</c:v>
                </c:pt>
                <c:pt idx="9">
                  <c:v>Spain</c:v>
                </c:pt>
                <c:pt idx="10">
                  <c:v>UK</c:v>
                </c:pt>
                <c:pt idx="11">
                  <c:v>USA</c:v>
                </c:pt>
              </c:strCache>
            </c:strRef>
          </c:cat>
          <c:val>
            <c:numRef>
              <c:f>Lists!$E$2:$E$13</c:f>
              <c:numCache>
                <c:formatCode>General</c:formatCode>
                <c:ptCount val="12"/>
                <c:pt idx="0">
                  <c:v>1795.6</c:v>
                </c:pt>
                <c:pt idx="1">
                  <c:v>2420.1999999999998</c:v>
                </c:pt>
                <c:pt idx="2">
                  <c:v>1643.3</c:v>
                </c:pt>
                <c:pt idx="3">
                  <c:v>519.29999999999995</c:v>
                </c:pt>
                <c:pt idx="4">
                  <c:v>2512.3000000000002</c:v>
                </c:pt>
                <c:pt idx="5">
                  <c:v>1338.8</c:v>
                </c:pt>
                <c:pt idx="6">
                  <c:v>1338.7</c:v>
                </c:pt>
                <c:pt idx="7">
                  <c:v>2157.8000000000002</c:v>
                </c:pt>
                <c:pt idx="8">
                  <c:v>2254.3000000000002</c:v>
                </c:pt>
                <c:pt idx="9">
                  <c:v>1495.8</c:v>
                </c:pt>
                <c:pt idx="10">
                  <c:v>1371.9</c:v>
                </c:pt>
                <c:pt idx="11">
                  <c:v>2042.2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5-4F14-98A8-37A641CB3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Average IMDb Rating by Genre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Lists!$E$16</c:f>
              <c:strCache>
                <c:ptCount val="1"/>
                <c:pt idx="0">
                  <c:v>Avg IMDb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Lists!$D$17:$D$28</c:f>
              <c:strCache>
                <c:ptCount val="12"/>
                <c:pt idx="0">
                  <c:v>Action</c:v>
                </c:pt>
                <c:pt idx="1">
                  <c:v>Animation</c:v>
                </c:pt>
                <c:pt idx="2">
                  <c:v>Comedy</c:v>
                </c:pt>
                <c:pt idx="3">
                  <c:v>Crime</c:v>
                </c:pt>
                <c:pt idx="4">
                  <c:v>Documentary</c:v>
                </c:pt>
                <c:pt idx="5">
                  <c:v>Drama</c:v>
                </c:pt>
                <c:pt idx="6">
                  <c:v>Fantasy</c:v>
                </c:pt>
                <c:pt idx="7">
                  <c:v>Horror</c:v>
                </c:pt>
                <c:pt idx="8">
                  <c:v>Mystery</c:v>
                </c:pt>
                <c:pt idx="9">
                  <c:v>Romance</c:v>
                </c:pt>
                <c:pt idx="10">
                  <c:v>Sci-Fi</c:v>
                </c:pt>
                <c:pt idx="11">
                  <c:v>Thriller</c:v>
                </c:pt>
              </c:strCache>
            </c:strRef>
          </c:cat>
          <c:val>
            <c:numRef>
              <c:f>Lists!$E$17:$E$28</c:f>
              <c:numCache>
                <c:formatCode>General</c:formatCode>
                <c:ptCount val="12"/>
                <c:pt idx="0">
                  <c:v>7.25</c:v>
                </c:pt>
                <c:pt idx="1">
                  <c:v>6.73</c:v>
                </c:pt>
                <c:pt idx="2">
                  <c:v>6.79</c:v>
                </c:pt>
                <c:pt idx="3">
                  <c:v>6.87</c:v>
                </c:pt>
                <c:pt idx="4">
                  <c:v>6.96</c:v>
                </c:pt>
                <c:pt idx="5">
                  <c:v>6.74</c:v>
                </c:pt>
                <c:pt idx="6">
                  <c:v>7.27</c:v>
                </c:pt>
                <c:pt idx="7">
                  <c:v>6.67</c:v>
                </c:pt>
                <c:pt idx="8">
                  <c:v>6.6</c:v>
                </c:pt>
                <c:pt idx="9">
                  <c:v>6.87</c:v>
                </c:pt>
                <c:pt idx="10">
                  <c:v>7.06</c:v>
                </c:pt>
                <c:pt idx="11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C-49EF-B055-B45A8BFEE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6FF2AB-26C6-4F1A-8911-F1F729C6B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495300</xdr:colOff>
      <xdr:row>0</xdr:row>
      <xdr:rowOff>30480</xdr:rowOff>
    </xdr:from>
    <xdr:ext cx="36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D57220-768B-490B-B39D-C16CBA815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19</xdr:row>
      <xdr:rowOff>121920</xdr:rowOff>
    </xdr:from>
    <xdr:ext cx="72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6A0328-4ED6-43C2-852D-A774347FD6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tflixTable" displayName="NetflixTable" ref="A1:J101">
  <autoFilter ref="A1:J101" xr:uid="{00000000-0009-0000-0100-000001000000}"/>
  <tableColumns count="10">
    <tableColumn id="1" xr3:uid="{00000000-0010-0000-0000-000001000000}" name="Title"/>
    <tableColumn id="2" xr3:uid="{00000000-0010-0000-0000-000002000000}" name="Type"/>
    <tableColumn id="3" xr3:uid="{00000000-0010-0000-0000-000003000000}" name="Genre"/>
    <tableColumn id="4" xr3:uid="{00000000-0010-0000-0000-000004000000}" name="Release Year"/>
    <tableColumn id="5" xr3:uid="{00000000-0010-0000-0000-000005000000}" name="Country"/>
    <tableColumn id="6" xr3:uid="{00000000-0010-0000-0000-000006000000}" name="Duration (min)"/>
    <tableColumn id="7" xr3:uid="{00000000-0010-0000-0000-000007000000}" name="IMDb Rating"/>
    <tableColumn id="8" xr3:uid="{00000000-0010-0000-0000-000008000000}" name="Views (Millions)"/>
    <tableColumn id="9" xr3:uid="{00000000-0010-0000-0000-000009000000}" name="Release Month"/>
    <tableColumn id="10" xr3:uid="{00000000-0010-0000-0000-00000A000000}" name="Languag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ivotGenre" displayName="PivotGenre" ref="A1:B13">
  <autoFilter ref="A1:B13" xr:uid="{00000000-0009-0000-0100-000002000000}"/>
  <tableColumns count="2">
    <tableColumn id="1" xr3:uid="{00000000-0010-0000-0100-000001000000}" name="Total Views by Genre"/>
    <tableColumn id="2" xr3:uid="{00000000-0010-0000-0100-000002000000}" name="Column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ivotCountry" displayName="PivotCountry" ref="A16:B28">
  <autoFilter ref="A16:B28" xr:uid="{00000000-0009-0000-0100-000003000000}"/>
  <tableColumns count="2">
    <tableColumn id="1" xr3:uid="{00000000-0010-0000-0200-000001000000}" name="Total Views by Country"/>
    <tableColumn id="2" xr3:uid="{00000000-0010-0000-0200-000002000000}" name="Column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ivotType" displayName="PivotType" ref="A31:B33">
  <autoFilter ref="A31:B33" xr:uid="{00000000-0009-0000-0100-000004000000}"/>
  <tableColumns count="2">
    <tableColumn id="1" xr3:uid="{00000000-0010-0000-0300-000001000000}" name="Average IMDb Rating by Type"/>
    <tableColumn id="2" xr3:uid="{00000000-0010-0000-0300-000002000000}" name="Column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ivotYear" displayName="PivotYear" ref="A36:B47">
  <autoFilter ref="A36:B47" xr:uid="{00000000-0009-0000-0100-000005000000}"/>
  <tableColumns count="2">
    <tableColumn id="1" xr3:uid="{00000000-0010-0000-0400-000001000000}" name="Total Views by Release Year"/>
    <tableColumn id="2" xr3:uid="{00000000-0010-0000-0400-000002000000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opLeftCell="A17" workbookViewId="0">
      <selection activeCell="L9" sqref="L9"/>
    </sheetView>
  </sheetViews>
  <sheetFormatPr defaultRowHeight="14.4" x14ac:dyDescent="0.3"/>
  <cols>
    <col min="1" max="1" width="39.44140625" bestFit="1" customWidth="1"/>
    <col min="2" max="2" width="13.77734375" bestFit="1" customWidth="1"/>
    <col min="3" max="3" width="12" bestFit="1" customWidth="1"/>
    <col min="4" max="4" width="13.6640625" bestFit="1" customWidth="1"/>
    <col min="5" max="5" width="13.77734375" bestFit="1" customWidth="1"/>
    <col min="6" max="6" width="15.6640625" bestFit="1" customWidth="1"/>
    <col min="7" max="7" width="13.6640625" bestFit="1" customWidth="1"/>
    <col min="8" max="8" width="16.5546875" bestFit="1" customWidth="1"/>
    <col min="9" max="9" width="15.88671875" bestFit="1" customWidth="1"/>
    <col min="10" max="10" width="11.33203125" bestFit="1" customWidth="1"/>
    <col min="12" max="12" width="18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</row>
    <row r="2" spans="1:13" x14ac:dyDescent="0.3">
      <c r="A2" t="s">
        <v>11</v>
      </c>
      <c r="B2" t="s">
        <v>12</v>
      </c>
      <c r="C2" t="s">
        <v>13</v>
      </c>
      <c r="D2">
        <v>2019</v>
      </c>
      <c r="E2" t="s">
        <v>14</v>
      </c>
      <c r="F2">
        <v>53</v>
      </c>
      <c r="G2">
        <v>5.6</v>
      </c>
      <c r="H2">
        <v>80.7</v>
      </c>
      <c r="I2" t="s">
        <v>15</v>
      </c>
      <c r="J2" t="s">
        <v>16</v>
      </c>
      <c r="L2" t="s">
        <v>17</v>
      </c>
      <c r="M2">
        <f>AVERAGE(H2:H101)</f>
        <v>208.90200000000002</v>
      </c>
    </row>
    <row r="3" spans="1:13" x14ac:dyDescent="0.3">
      <c r="A3" t="s">
        <v>18</v>
      </c>
      <c r="B3" t="s">
        <v>12</v>
      </c>
      <c r="C3" t="s">
        <v>19</v>
      </c>
      <c r="D3">
        <v>2015</v>
      </c>
      <c r="E3" t="s">
        <v>20</v>
      </c>
      <c r="F3">
        <v>36</v>
      </c>
      <c r="G3">
        <v>5.9</v>
      </c>
      <c r="H3">
        <v>201.6</v>
      </c>
      <c r="I3" t="s">
        <v>21</v>
      </c>
      <c r="J3" t="s">
        <v>16</v>
      </c>
      <c r="L3" t="s">
        <v>22</v>
      </c>
      <c r="M3">
        <f>MAX(H2:H101)</f>
        <v>349</v>
      </c>
    </row>
    <row r="4" spans="1:13" x14ac:dyDescent="0.3">
      <c r="A4" t="s">
        <v>23</v>
      </c>
      <c r="B4" t="s">
        <v>12</v>
      </c>
      <c r="C4" t="s">
        <v>24</v>
      </c>
      <c r="D4">
        <v>2023</v>
      </c>
      <c r="E4" t="s">
        <v>25</v>
      </c>
      <c r="F4">
        <v>53</v>
      </c>
      <c r="G4">
        <v>6.8</v>
      </c>
      <c r="H4">
        <v>133.5</v>
      </c>
      <c r="I4" t="s">
        <v>21</v>
      </c>
      <c r="J4" t="s">
        <v>26</v>
      </c>
      <c r="L4" t="s">
        <v>27</v>
      </c>
      <c r="M4">
        <f>MIN(H2:H101)</f>
        <v>52.3</v>
      </c>
    </row>
    <row r="5" spans="1:13" x14ac:dyDescent="0.3">
      <c r="A5" t="s">
        <v>28</v>
      </c>
      <c r="B5" t="s">
        <v>29</v>
      </c>
      <c r="C5" t="s">
        <v>30</v>
      </c>
      <c r="D5">
        <v>2019</v>
      </c>
      <c r="E5" t="s">
        <v>31</v>
      </c>
      <c r="F5">
        <v>93</v>
      </c>
      <c r="G5">
        <v>8.8000000000000007</v>
      </c>
      <c r="H5">
        <v>151</v>
      </c>
      <c r="I5" t="s">
        <v>32</v>
      </c>
      <c r="J5" t="s">
        <v>33</v>
      </c>
      <c r="L5" t="s">
        <v>34</v>
      </c>
      <c r="M5">
        <f>AVERAGE(G2:G101)</f>
        <v>6.9209999999999994</v>
      </c>
    </row>
    <row r="6" spans="1:13" x14ac:dyDescent="0.3">
      <c r="A6" t="s">
        <v>35</v>
      </c>
      <c r="B6" t="s">
        <v>12</v>
      </c>
      <c r="C6" t="s">
        <v>30</v>
      </c>
      <c r="D6">
        <v>2024</v>
      </c>
      <c r="E6" t="s">
        <v>36</v>
      </c>
      <c r="F6">
        <v>128</v>
      </c>
      <c r="G6">
        <v>5.2</v>
      </c>
      <c r="H6">
        <v>187.8</v>
      </c>
      <c r="I6" t="s">
        <v>32</v>
      </c>
      <c r="J6" t="s">
        <v>33</v>
      </c>
    </row>
    <row r="7" spans="1:13" x14ac:dyDescent="0.3">
      <c r="A7" t="s">
        <v>37</v>
      </c>
      <c r="B7" t="s">
        <v>12</v>
      </c>
      <c r="C7" t="s">
        <v>38</v>
      </c>
      <c r="D7">
        <v>2025</v>
      </c>
      <c r="E7" t="s">
        <v>39</v>
      </c>
      <c r="F7">
        <v>138</v>
      </c>
      <c r="G7">
        <v>8.4</v>
      </c>
      <c r="H7">
        <v>223.2</v>
      </c>
      <c r="I7" t="s">
        <v>15</v>
      </c>
      <c r="J7" t="s">
        <v>40</v>
      </c>
    </row>
    <row r="8" spans="1:13" x14ac:dyDescent="0.3">
      <c r="A8" t="s">
        <v>41</v>
      </c>
      <c r="B8" t="s">
        <v>12</v>
      </c>
      <c r="C8" t="s">
        <v>42</v>
      </c>
      <c r="D8">
        <v>2019</v>
      </c>
      <c r="E8" t="s">
        <v>43</v>
      </c>
      <c r="F8">
        <v>134</v>
      </c>
      <c r="G8">
        <v>5.9</v>
      </c>
      <c r="H8">
        <v>80.3</v>
      </c>
      <c r="I8" t="s">
        <v>44</v>
      </c>
      <c r="J8" t="s">
        <v>45</v>
      </c>
    </row>
    <row r="9" spans="1:13" x14ac:dyDescent="0.3">
      <c r="A9" t="s">
        <v>46</v>
      </c>
      <c r="B9" t="s">
        <v>12</v>
      </c>
      <c r="C9" t="s">
        <v>30</v>
      </c>
      <c r="D9">
        <v>2017</v>
      </c>
      <c r="E9" t="s">
        <v>47</v>
      </c>
      <c r="F9">
        <v>70</v>
      </c>
      <c r="G9">
        <v>5.8</v>
      </c>
      <c r="H9">
        <v>130.1</v>
      </c>
      <c r="I9" t="s">
        <v>48</v>
      </c>
      <c r="J9" t="s">
        <v>40</v>
      </c>
    </row>
    <row r="10" spans="1:13" x14ac:dyDescent="0.3">
      <c r="A10" t="s">
        <v>49</v>
      </c>
      <c r="B10" t="s">
        <v>12</v>
      </c>
      <c r="C10" t="s">
        <v>50</v>
      </c>
      <c r="D10">
        <v>2023</v>
      </c>
      <c r="E10" t="s">
        <v>51</v>
      </c>
      <c r="F10">
        <v>56</v>
      </c>
      <c r="G10">
        <v>5.7</v>
      </c>
      <c r="H10">
        <v>163.80000000000001</v>
      </c>
      <c r="I10" t="s">
        <v>48</v>
      </c>
      <c r="J10" t="s">
        <v>16</v>
      </c>
    </row>
    <row r="11" spans="1:13" x14ac:dyDescent="0.3">
      <c r="A11" t="s">
        <v>52</v>
      </c>
      <c r="B11" t="s">
        <v>12</v>
      </c>
      <c r="C11" t="s">
        <v>30</v>
      </c>
      <c r="D11">
        <v>2015</v>
      </c>
      <c r="E11" t="s">
        <v>14</v>
      </c>
      <c r="F11">
        <v>130</v>
      </c>
      <c r="G11">
        <v>5.0999999999999996</v>
      </c>
      <c r="H11">
        <v>144.6</v>
      </c>
      <c r="I11" t="s">
        <v>44</v>
      </c>
      <c r="J11" t="s">
        <v>40</v>
      </c>
    </row>
    <row r="12" spans="1:13" x14ac:dyDescent="0.3">
      <c r="A12" t="s">
        <v>53</v>
      </c>
      <c r="B12" t="s">
        <v>12</v>
      </c>
      <c r="C12" t="s">
        <v>54</v>
      </c>
      <c r="D12">
        <v>2020</v>
      </c>
      <c r="E12" t="s">
        <v>14</v>
      </c>
      <c r="F12">
        <v>108</v>
      </c>
      <c r="G12">
        <v>7</v>
      </c>
      <c r="H12">
        <v>315.39999999999998</v>
      </c>
      <c r="I12" t="s">
        <v>48</v>
      </c>
      <c r="J12" t="s">
        <v>45</v>
      </c>
    </row>
    <row r="13" spans="1:13" x14ac:dyDescent="0.3">
      <c r="A13" t="s">
        <v>55</v>
      </c>
      <c r="B13" t="s">
        <v>12</v>
      </c>
      <c r="C13" t="s">
        <v>50</v>
      </c>
      <c r="D13">
        <v>2018</v>
      </c>
      <c r="E13" t="s">
        <v>51</v>
      </c>
      <c r="F13">
        <v>96</v>
      </c>
      <c r="G13">
        <v>7.2</v>
      </c>
      <c r="H13">
        <v>274.10000000000002</v>
      </c>
      <c r="I13" t="s">
        <v>56</v>
      </c>
      <c r="J13" t="s">
        <v>33</v>
      </c>
    </row>
    <row r="14" spans="1:13" x14ac:dyDescent="0.3">
      <c r="A14" t="s">
        <v>57</v>
      </c>
      <c r="B14" t="s">
        <v>12</v>
      </c>
      <c r="C14" t="s">
        <v>50</v>
      </c>
      <c r="D14">
        <v>2023</v>
      </c>
      <c r="E14" t="s">
        <v>58</v>
      </c>
      <c r="F14">
        <v>36</v>
      </c>
      <c r="G14">
        <v>8</v>
      </c>
      <c r="H14">
        <v>308.3</v>
      </c>
      <c r="I14" t="s">
        <v>59</v>
      </c>
      <c r="J14" t="s">
        <v>26</v>
      </c>
    </row>
    <row r="15" spans="1:13" x14ac:dyDescent="0.3">
      <c r="A15" t="s">
        <v>60</v>
      </c>
      <c r="B15" t="s">
        <v>29</v>
      </c>
      <c r="C15" t="s">
        <v>19</v>
      </c>
      <c r="D15">
        <v>2024</v>
      </c>
      <c r="E15" t="s">
        <v>43</v>
      </c>
      <c r="F15">
        <v>104</v>
      </c>
      <c r="G15">
        <v>6.5</v>
      </c>
      <c r="H15">
        <v>348.8</v>
      </c>
      <c r="I15" t="s">
        <v>61</v>
      </c>
      <c r="J15" t="s">
        <v>62</v>
      </c>
    </row>
    <row r="16" spans="1:13" x14ac:dyDescent="0.3">
      <c r="A16" t="s">
        <v>63</v>
      </c>
      <c r="B16" t="s">
        <v>29</v>
      </c>
      <c r="C16" t="s">
        <v>13</v>
      </c>
      <c r="D16">
        <v>2025</v>
      </c>
      <c r="E16" t="s">
        <v>51</v>
      </c>
      <c r="F16">
        <v>87</v>
      </c>
      <c r="G16">
        <v>7.7</v>
      </c>
      <c r="H16">
        <v>211.1</v>
      </c>
      <c r="I16" t="s">
        <v>44</v>
      </c>
      <c r="J16" t="s">
        <v>64</v>
      </c>
    </row>
    <row r="17" spans="1:10" x14ac:dyDescent="0.3">
      <c r="A17" t="s">
        <v>65</v>
      </c>
      <c r="B17" t="s">
        <v>12</v>
      </c>
      <c r="C17" t="s">
        <v>19</v>
      </c>
      <c r="D17">
        <v>2017</v>
      </c>
      <c r="E17" t="s">
        <v>58</v>
      </c>
      <c r="F17">
        <v>25</v>
      </c>
      <c r="G17">
        <v>8.8000000000000007</v>
      </c>
      <c r="H17">
        <v>312.8</v>
      </c>
      <c r="I17" t="s">
        <v>44</v>
      </c>
      <c r="J17" t="s">
        <v>16</v>
      </c>
    </row>
    <row r="18" spans="1:10" x14ac:dyDescent="0.3">
      <c r="A18" t="s">
        <v>66</v>
      </c>
      <c r="B18" t="s">
        <v>29</v>
      </c>
      <c r="C18" t="s">
        <v>67</v>
      </c>
      <c r="D18">
        <v>2016</v>
      </c>
      <c r="E18" t="s">
        <v>68</v>
      </c>
      <c r="F18">
        <v>99</v>
      </c>
      <c r="G18">
        <v>8.4</v>
      </c>
      <c r="H18">
        <v>202.3</v>
      </c>
      <c r="I18" t="s">
        <v>69</v>
      </c>
      <c r="J18" t="s">
        <v>26</v>
      </c>
    </row>
    <row r="19" spans="1:10" x14ac:dyDescent="0.3">
      <c r="A19" t="s">
        <v>70</v>
      </c>
      <c r="B19" t="s">
        <v>12</v>
      </c>
      <c r="C19" t="s">
        <v>50</v>
      </c>
      <c r="D19">
        <v>2023</v>
      </c>
      <c r="E19" t="s">
        <v>71</v>
      </c>
      <c r="F19">
        <v>25</v>
      </c>
      <c r="G19">
        <v>7.4</v>
      </c>
      <c r="H19">
        <v>196.6</v>
      </c>
      <c r="I19" t="s">
        <v>32</v>
      </c>
      <c r="J19" t="s">
        <v>64</v>
      </c>
    </row>
    <row r="20" spans="1:10" x14ac:dyDescent="0.3">
      <c r="A20" t="s">
        <v>72</v>
      </c>
      <c r="B20" t="s">
        <v>29</v>
      </c>
      <c r="C20" t="s">
        <v>38</v>
      </c>
      <c r="D20">
        <v>2018</v>
      </c>
      <c r="E20" t="s">
        <v>20</v>
      </c>
      <c r="F20">
        <v>95</v>
      </c>
      <c r="G20">
        <v>8.5</v>
      </c>
      <c r="H20">
        <v>334.1</v>
      </c>
      <c r="I20" t="s">
        <v>32</v>
      </c>
      <c r="J20" t="s">
        <v>45</v>
      </c>
    </row>
    <row r="21" spans="1:10" x14ac:dyDescent="0.3">
      <c r="A21" t="s">
        <v>73</v>
      </c>
      <c r="B21" t="s">
        <v>29</v>
      </c>
      <c r="C21" t="s">
        <v>67</v>
      </c>
      <c r="D21">
        <v>2017</v>
      </c>
      <c r="E21" t="s">
        <v>31</v>
      </c>
      <c r="F21">
        <v>122</v>
      </c>
      <c r="G21">
        <v>6.9</v>
      </c>
      <c r="H21">
        <v>214.9</v>
      </c>
      <c r="I21" t="s">
        <v>44</v>
      </c>
      <c r="J21" t="s">
        <v>16</v>
      </c>
    </row>
    <row r="22" spans="1:10" x14ac:dyDescent="0.3">
      <c r="A22" t="s">
        <v>74</v>
      </c>
      <c r="B22" t="s">
        <v>29</v>
      </c>
      <c r="C22" t="s">
        <v>19</v>
      </c>
      <c r="D22">
        <v>2018</v>
      </c>
      <c r="E22" t="s">
        <v>71</v>
      </c>
      <c r="F22">
        <v>128</v>
      </c>
      <c r="G22">
        <v>7.9</v>
      </c>
      <c r="H22">
        <v>110.3</v>
      </c>
      <c r="I22" t="s">
        <v>44</v>
      </c>
      <c r="J22" t="s">
        <v>33</v>
      </c>
    </row>
    <row r="23" spans="1:10" x14ac:dyDescent="0.3">
      <c r="A23" t="s">
        <v>75</v>
      </c>
      <c r="B23" t="s">
        <v>29</v>
      </c>
      <c r="C23" t="s">
        <v>24</v>
      </c>
      <c r="D23">
        <v>2020</v>
      </c>
      <c r="E23" t="s">
        <v>58</v>
      </c>
      <c r="F23">
        <v>137</v>
      </c>
      <c r="G23">
        <v>7.1</v>
      </c>
      <c r="H23">
        <v>86.3</v>
      </c>
      <c r="I23" t="s">
        <v>69</v>
      </c>
      <c r="J23" t="s">
        <v>40</v>
      </c>
    </row>
    <row r="24" spans="1:10" x14ac:dyDescent="0.3">
      <c r="A24" t="s">
        <v>76</v>
      </c>
      <c r="B24" t="s">
        <v>12</v>
      </c>
      <c r="C24" t="s">
        <v>54</v>
      </c>
      <c r="D24">
        <v>2023</v>
      </c>
      <c r="E24" t="s">
        <v>14</v>
      </c>
      <c r="F24">
        <v>100</v>
      </c>
      <c r="G24">
        <v>5.9</v>
      </c>
      <c r="H24">
        <v>71.3</v>
      </c>
      <c r="I24" t="s">
        <v>48</v>
      </c>
      <c r="J24" t="s">
        <v>77</v>
      </c>
    </row>
    <row r="25" spans="1:10" x14ac:dyDescent="0.3">
      <c r="A25" t="s">
        <v>78</v>
      </c>
      <c r="B25" t="s">
        <v>12</v>
      </c>
      <c r="C25" t="s">
        <v>13</v>
      </c>
      <c r="D25">
        <v>2020</v>
      </c>
      <c r="E25" t="s">
        <v>43</v>
      </c>
      <c r="F25">
        <v>90</v>
      </c>
      <c r="G25">
        <v>6</v>
      </c>
      <c r="H25">
        <v>250.7</v>
      </c>
      <c r="I25" t="s">
        <v>69</v>
      </c>
      <c r="J25" t="s">
        <v>16</v>
      </c>
    </row>
    <row r="26" spans="1:10" x14ac:dyDescent="0.3">
      <c r="A26" t="s">
        <v>79</v>
      </c>
      <c r="B26" t="s">
        <v>12</v>
      </c>
      <c r="C26" t="s">
        <v>54</v>
      </c>
      <c r="D26">
        <v>2024</v>
      </c>
      <c r="E26" t="s">
        <v>58</v>
      </c>
      <c r="F26">
        <v>56</v>
      </c>
      <c r="G26">
        <v>8.1</v>
      </c>
      <c r="H26">
        <v>292.2</v>
      </c>
      <c r="I26" t="s">
        <v>69</v>
      </c>
      <c r="J26" t="s">
        <v>40</v>
      </c>
    </row>
    <row r="27" spans="1:10" x14ac:dyDescent="0.3">
      <c r="A27" t="s">
        <v>80</v>
      </c>
      <c r="B27" t="s">
        <v>12</v>
      </c>
      <c r="C27" t="s">
        <v>19</v>
      </c>
      <c r="D27">
        <v>2020</v>
      </c>
      <c r="E27" t="s">
        <v>25</v>
      </c>
      <c r="F27">
        <v>77</v>
      </c>
      <c r="G27">
        <v>6.9</v>
      </c>
      <c r="H27">
        <v>268.7</v>
      </c>
      <c r="I27" t="s">
        <v>48</v>
      </c>
      <c r="J27" t="s">
        <v>40</v>
      </c>
    </row>
    <row r="28" spans="1:10" x14ac:dyDescent="0.3">
      <c r="A28" t="s">
        <v>81</v>
      </c>
      <c r="B28" t="s">
        <v>12</v>
      </c>
      <c r="C28" t="s">
        <v>82</v>
      </c>
      <c r="D28">
        <v>2020</v>
      </c>
      <c r="E28" t="s">
        <v>43</v>
      </c>
      <c r="F28">
        <v>56</v>
      </c>
      <c r="G28">
        <v>5.8</v>
      </c>
      <c r="H28">
        <v>210.9</v>
      </c>
      <c r="I28" t="s">
        <v>59</v>
      </c>
      <c r="J28" t="s">
        <v>33</v>
      </c>
    </row>
    <row r="29" spans="1:10" x14ac:dyDescent="0.3">
      <c r="A29" t="s">
        <v>83</v>
      </c>
      <c r="B29" t="s">
        <v>12</v>
      </c>
      <c r="C29" t="s">
        <v>84</v>
      </c>
      <c r="D29">
        <v>2018</v>
      </c>
      <c r="E29" t="s">
        <v>43</v>
      </c>
      <c r="F29">
        <v>81</v>
      </c>
      <c r="G29">
        <v>8.1999999999999993</v>
      </c>
      <c r="H29">
        <v>306.8</v>
      </c>
      <c r="I29" t="s">
        <v>32</v>
      </c>
      <c r="J29" t="s">
        <v>77</v>
      </c>
    </row>
    <row r="30" spans="1:10" x14ac:dyDescent="0.3">
      <c r="A30" t="s">
        <v>85</v>
      </c>
      <c r="B30" t="s">
        <v>29</v>
      </c>
      <c r="C30" t="s">
        <v>67</v>
      </c>
      <c r="D30">
        <v>2015</v>
      </c>
      <c r="E30" t="s">
        <v>43</v>
      </c>
      <c r="F30">
        <v>139</v>
      </c>
      <c r="G30">
        <v>8</v>
      </c>
      <c r="H30">
        <v>120.9</v>
      </c>
      <c r="I30" t="s">
        <v>56</v>
      </c>
      <c r="J30" t="s">
        <v>45</v>
      </c>
    </row>
    <row r="31" spans="1:10" x14ac:dyDescent="0.3">
      <c r="A31" t="s">
        <v>86</v>
      </c>
      <c r="B31" t="s">
        <v>12</v>
      </c>
      <c r="C31" t="s">
        <v>19</v>
      </c>
      <c r="D31">
        <v>2015</v>
      </c>
      <c r="E31" t="s">
        <v>31</v>
      </c>
      <c r="F31">
        <v>73</v>
      </c>
      <c r="G31">
        <v>5</v>
      </c>
      <c r="H31">
        <v>167.1</v>
      </c>
      <c r="I31" t="s">
        <v>87</v>
      </c>
      <c r="J31" t="s">
        <v>62</v>
      </c>
    </row>
    <row r="32" spans="1:10" x14ac:dyDescent="0.3">
      <c r="A32" t="s">
        <v>70</v>
      </c>
      <c r="B32" t="s">
        <v>12</v>
      </c>
      <c r="C32" t="s">
        <v>82</v>
      </c>
      <c r="D32">
        <v>2023</v>
      </c>
      <c r="E32" t="s">
        <v>68</v>
      </c>
      <c r="F32">
        <v>116</v>
      </c>
      <c r="G32">
        <v>6.9</v>
      </c>
      <c r="H32">
        <v>107</v>
      </c>
      <c r="I32" t="s">
        <v>69</v>
      </c>
      <c r="J32" t="s">
        <v>77</v>
      </c>
    </row>
    <row r="33" spans="1:10" x14ac:dyDescent="0.3">
      <c r="A33" t="s">
        <v>88</v>
      </c>
      <c r="B33" t="s">
        <v>12</v>
      </c>
      <c r="C33" t="s">
        <v>67</v>
      </c>
      <c r="D33">
        <v>2015</v>
      </c>
      <c r="E33" t="s">
        <v>51</v>
      </c>
      <c r="F33">
        <v>65</v>
      </c>
      <c r="G33">
        <v>5.2</v>
      </c>
      <c r="H33">
        <v>225.3</v>
      </c>
      <c r="I33" t="s">
        <v>61</v>
      </c>
      <c r="J33" t="s">
        <v>16</v>
      </c>
    </row>
    <row r="34" spans="1:10" x14ac:dyDescent="0.3">
      <c r="A34" t="s">
        <v>89</v>
      </c>
      <c r="B34" t="s">
        <v>12</v>
      </c>
      <c r="C34" t="s">
        <v>67</v>
      </c>
      <c r="D34">
        <v>2016</v>
      </c>
      <c r="E34" t="s">
        <v>31</v>
      </c>
      <c r="F34">
        <v>33</v>
      </c>
      <c r="G34">
        <v>7.4</v>
      </c>
      <c r="H34">
        <v>252.6</v>
      </c>
      <c r="I34" t="s">
        <v>69</v>
      </c>
      <c r="J34" t="s">
        <v>33</v>
      </c>
    </row>
    <row r="35" spans="1:10" x14ac:dyDescent="0.3">
      <c r="A35" t="s">
        <v>90</v>
      </c>
      <c r="B35" t="s">
        <v>12</v>
      </c>
      <c r="C35" t="s">
        <v>54</v>
      </c>
      <c r="D35">
        <v>2018</v>
      </c>
      <c r="E35" t="s">
        <v>39</v>
      </c>
      <c r="F35">
        <v>101</v>
      </c>
      <c r="G35">
        <v>5.2</v>
      </c>
      <c r="H35">
        <v>74.599999999999994</v>
      </c>
      <c r="I35" t="s">
        <v>48</v>
      </c>
      <c r="J35" t="s">
        <v>16</v>
      </c>
    </row>
    <row r="36" spans="1:10" x14ac:dyDescent="0.3">
      <c r="A36" t="s">
        <v>91</v>
      </c>
      <c r="B36" t="s">
        <v>12</v>
      </c>
      <c r="C36" t="s">
        <v>38</v>
      </c>
      <c r="D36">
        <v>2018</v>
      </c>
      <c r="E36" t="s">
        <v>68</v>
      </c>
      <c r="F36">
        <v>116</v>
      </c>
      <c r="G36">
        <v>6.3</v>
      </c>
      <c r="H36">
        <v>129.69999999999999</v>
      </c>
      <c r="I36" t="s">
        <v>59</v>
      </c>
      <c r="J36" t="s">
        <v>62</v>
      </c>
    </row>
    <row r="37" spans="1:10" x14ac:dyDescent="0.3">
      <c r="A37" t="s">
        <v>92</v>
      </c>
      <c r="B37" t="s">
        <v>12</v>
      </c>
      <c r="C37" t="s">
        <v>93</v>
      </c>
      <c r="D37">
        <v>2015</v>
      </c>
      <c r="E37" t="s">
        <v>58</v>
      </c>
      <c r="F37">
        <v>104</v>
      </c>
      <c r="G37">
        <v>9</v>
      </c>
      <c r="H37">
        <v>348.8</v>
      </c>
      <c r="I37" t="s">
        <v>32</v>
      </c>
      <c r="J37" t="s">
        <v>16</v>
      </c>
    </row>
    <row r="38" spans="1:10" x14ac:dyDescent="0.3">
      <c r="A38" t="s">
        <v>94</v>
      </c>
      <c r="B38" t="s">
        <v>12</v>
      </c>
      <c r="C38" t="s">
        <v>38</v>
      </c>
      <c r="D38">
        <v>2017</v>
      </c>
      <c r="E38" t="s">
        <v>47</v>
      </c>
      <c r="F38">
        <v>137</v>
      </c>
      <c r="G38">
        <v>5.3</v>
      </c>
      <c r="H38">
        <v>123.3</v>
      </c>
      <c r="I38" t="s">
        <v>44</v>
      </c>
      <c r="J38" t="s">
        <v>26</v>
      </c>
    </row>
    <row r="39" spans="1:10" x14ac:dyDescent="0.3">
      <c r="A39" t="s">
        <v>95</v>
      </c>
      <c r="B39" t="s">
        <v>12</v>
      </c>
      <c r="C39" t="s">
        <v>67</v>
      </c>
      <c r="D39">
        <v>2019</v>
      </c>
      <c r="E39" t="s">
        <v>39</v>
      </c>
      <c r="F39">
        <v>128</v>
      </c>
      <c r="G39">
        <v>7.6</v>
      </c>
      <c r="H39">
        <v>52.3</v>
      </c>
      <c r="I39" t="s">
        <v>61</v>
      </c>
      <c r="J39" t="s">
        <v>62</v>
      </c>
    </row>
    <row r="40" spans="1:10" x14ac:dyDescent="0.3">
      <c r="A40" t="s">
        <v>96</v>
      </c>
      <c r="B40" t="s">
        <v>29</v>
      </c>
      <c r="C40" t="s">
        <v>93</v>
      </c>
      <c r="D40">
        <v>2017</v>
      </c>
      <c r="E40" t="s">
        <v>36</v>
      </c>
      <c r="F40">
        <v>87</v>
      </c>
      <c r="G40">
        <v>8.6</v>
      </c>
      <c r="H40">
        <v>272.7</v>
      </c>
      <c r="I40" t="s">
        <v>59</v>
      </c>
      <c r="J40" t="s">
        <v>62</v>
      </c>
    </row>
    <row r="41" spans="1:10" x14ac:dyDescent="0.3">
      <c r="A41" t="s">
        <v>97</v>
      </c>
      <c r="B41" t="s">
        <v>12</v>
      </c>
      <c r="C41" t="s">
        <v>42</v>
      </c>
      <c r="D41">
        <v>2020</v>
      </c>
      <c r="E41" t="s">
        <v>14</v>
      </c>
      <c r="F41">
        <v>112</v>
      </c>
      <c r="G41">
        <v>7.5</v>
      </c>
      <c r="H41">
        <v>129.19999999999999</v>
      </c>
      <c r="I41" t="s">
        <v>87</v>
      </c>
      <c r="J41" t="s">
        <v>62</v>
      </c>
    </row>
    <row r="42" spans="1:10" x14ac:dyDescent="0.3">
      <c r="A42" t="s">
        <v>98</v>
      </c>
      <c r="B42" t="s">
        <v>29</v>
      </c>
      <c r="C42" t="s">
        <v>13</v>
      </c>
      <c r="D42">
        <v>2016</v>
      </c>
      <c r="E42" t="s">
        <v>68</v>
      </c>
      <c r="F42">
        <v>107</v>
      </c>
      <c r="G42">
        <v>8.3000000000000007</v>
      </c>
      <c r="H42">
        <v>63.2</v>
      </c>
      <c r="I42" t="s">
        <v>99</v>
      </c>
      <c r="J42" t="s">
        <v>26</v>
      </c>
    </row>
    <row r="43" spans="1:10" x14ac:dyDescent="0.3">
      <c r="A43" t="s">
        <v>100</v>
      </c>
      <c r="B43" t="s">
        <v>12</v>
      </c>
      <c r="C43" t="s">
        <v>38</v>
      </c>
      <c r="D43">
        <v>2017</v>
      </c>
      <c r="E43" t="s">
        <v>51</v>
      </c>
      <c r="F43">
        <v>81</v>
      </c>
      <c r="G43">
        <v>7.2</v>
      </c>
      <c r="H43">
        <v>178.3</v>
      </c>
      <c r="I43" t="s">
        <v>21</v>
      </c>
      <c r="J43" t="s">
        <v>40</v>
      </c>
    </row>
    <row r="44" spans="1:10" x14ac:dyDescent="0.3">
      <c r="A44" t="s">
        <v>101</v>
      </c>
      <c r="B44" t="s">
        <v>12</v>
      </c>
      <c r="C44" t="s">
        <v>82</v>
      </c>
      <c r="D44">
        <v>2017</v>
      </c>
      <c r="E44" t="s">
        <v>71</v>
      </c>
      <c r="F44">
        <v>29</v>
      </c>
      <c r="G44">
        <v>8.3000000000000007</v>
      </c>
      <c r="H44">
        <v>224.8</v>
      </c>
      <c r="I44" t="s">
        <v>59</v>
      </c>
      <c r="J44" t="s">
        <v>33</v>
      </c>
    </row>
    <row r="45" spans="1:10" x14ac:dyDescent="0.3">
      <c r="A45" t="s">
        <v>102</v>
      </c>
      <c r="B45" t="s">
        <v>12</v>
      </c>
      <c r="C45" t="s">
        <v>38</v>
      </c>
      <c r="D45">
        <v>2020</v>
      </c>
      <c r="E45" t="s">
        <v>20</v>
      </c>
      <c r="F45">
        <v>140</v>
      </c>
      <c r="G45">
        <v>6.4</v>
      </c>
      <c r="H45">
        <v>254.6</v>
      </c>
      <c r="I45" t="s">
        <v>48</v>
      </c>
      <c r="J45" t="s">
        <v>40</v>
      </c>
    </row>
    <row r="46" spans="1:10" x14ac:dyDescent="0.3">
      <c r="A46" t="s">
        <v>103</v>
      </c>
      <c r="B46" t="s">
        <v>12</v>
      </c>
      <c r="C46" t="s">
        <v>67</v>
      </c>
      <c r="D46">
        <v>2021</v>
      </c>
      <c r="E46" t="s">
        <v>39</v>
      </c>
      <c r="F46">
        <v>120</v>
      </c>
      <c r="G46">
        <v>5.6</v>
      </c>
      <c r="H46">
        <v>329</v>
      </c>
      <c r="I46" t="s">
        <v>59</v>
      </c>
      <c r="J46" t="s">
        <v>26</v>
      </c>
    </row>
    <row r="47" spans="1:10" x14ac:dyDescent="0.3">
      <c r="A47" t="s">
        <v>104</v>
      </c>
      <c r="B47" t="s">
        <v>29</v>
      </c>
      <c r="C47" t="s">
        <v>13</v>
      </c>
      <c r="D47">
        <v>2017</v>
      </c>
      <c r="E47" t="s">
        <v>51</v>
      </c>
      <c r="F47">
        <v>139</v>
      </c>
      <c r="G47">
        <v>6.3</v>
      </c>
      <c r="H47">
        <v>329.2</v>
      </c>
      <c r="I47" t="s">
        <v>48</v>
      </c>
      <c r="J47" t="s">
        <v>105</v>
      </c>
    </row>
    <row r="48" spans="1:10" x14ac:dyDescent="0.3">
      <c r="A48" t="s">
        <v>106</v>
      </c>
      <c r="B48" t="s">
        <v>12</v>
      </c>
      <c r="C48" t="s">
        <v>82</v>
      </c>
      <c r="D48">
        <v>2016</v>
      </c>
      <c r="E48" t="s">
        <v>25</v>
      </c>
      <c r="F48">
        <v>136</v>
      </c>
      <c r="G48">
        <v>5.2</v>
      </c>
      <c r="H48">
        <v>191.2</v>
      </c>
      <c r="I48" t="s">
        <v>69</v>
      </c>
      <c r="J48" t="s">
        <v>45</v>
      </c>
    </row>
    <row r="49" spans="1:10" x14ac:dyDescent="0.3">
      <c r="A49" t="s">
        <v>107</v>
      </c>
      <c r="B49" t="s">
        <v>12</v>
      </c>
      <c r="C49" t="s">
        <v>42</v>
      </c>
      <c r="D49">
        <v>2018</v>
      </c>
      <c r="E49" t="s">
        <v>20</v>
      </c>
      <c r="F49">
        <v>109</v>
      </c>
      <c r="G49">
        <v>5.8</v>
      </c>
      <c r="H49">
        <v>148.5</v>
      </c>
      <c r="I49" t="s">
        <v>32</v>
      </c>
      <c r="J49" t="s">
        <v>62</v>
      </c>
    </row>
    <row r="50" spans="1:10" x14ac:dyDescent="0.3">
      <c r="A50" t="s">
        <v>108</v>
      </c>
      <c r="B50" t="s">
        <v>12</v>
      </c>
      <c r="C50" t="s">
        <v>67</v>
      </c>
      <c r="D50">
        <v>2021</v>
      </c>
      <c r="E50" t="s">
        <v>68</v>
      </c>
      <c r="F50">
        <v>132</v>
      </c>
      <c r="G50">
        <v>7.1</v>
      </c>
      <c r="H50">
        <v>331.8</v>
      </c>
      <c r="I50" t="s">
        <v>32</v>
      </c>
      <c r="J50" t="s">
        <v>62</v>
      </c>
    </row>
    <row r="51" spans="1:10" x14ac:dyDescent="0.3">
      <c r="A51" t="s">
        <v>109</v>
      </c>
      <c r="B51" t="s">
        <v>12</v>
      </c>
      <c r="C51" t="s">
        <v>38</v>
      </c>
      <c r="D51">
        <v>2015</v>
      </c>
      <c r="E51" t="s">
        <v>43</v>
      </c>
      <c r="F51">
        <v>101</v>
      </c>
      <c r="G51">
        <v>6.7</v>
      </c>
      <c r="H51">
        <v>268.60000000000002</v>
      </c>
      <c r="I51" t="s">
        <v>99</v>
      </c>
      <c r="J51" t="s">
        <v>33</v>
      </c>
    </row>
    <row r="52" spans="1:10" x14ac:dyDescent="0.3">
      <c r="A52" t="s">
        <v>110</v>
      </c>
      <c r="B52" t="s">
        <v>12</v>
      </c>
      <c r="C52" t="s">
        <v>67</v>
      </c>
      <c r="D52">
        <v>2016</v>
      </c>
      <c r="E52" t="s">
        <v>25</v>
      </c>
      <c r="F52">
        <v>140</v>
      </c>
      <c r="G52">
        <v>7.3</v>
      </c>
      <c r="H52">
        <v>126.4</v>
      </c>
      <c r="I52" t="s">
        <v>15</v>
      </c>
      <c r="J52" t="s">
        <v>33</v>
      </c>
    </row>
    <row r="53" spans="1:10" x14ac:dyDescent="0.3">
      <c r="A53" t="s">
        <v>111</v>
      </c>
      <c r="B53" t="s">
        <v>12</v>
      </c>
      <c r="C53" t="s">
        <v>67</v>
      </c>
      <c r="D53">
        <v>2025</v>
      </c>
      <c r="E53" t="s">
        <v>51</v>
      </c>
      <c r="F53">
        <v>119</v>
      </c>
      <c r="G53">
        <v>7.9</v>
      </c>
      <c r="H53">
        <v>109.1</v>
      </c>
      <c r="I53" t="s">
        <v>56</v>
      </c>
      <c r="J53" t="s">
        <v>40</v>
      </c>
    </row>
    <row r="54" spans="1:10" x14ac:dyDescent="0.3">
      <c r="A54" t="s">
        <v>112</v>
      </c>
      <c r="B54" t="s">
        <v>29</v>
      </c>
      <c r="C54" t="s">
        <v>30</v>
      </c>
      <c r="D54">
        <v>2024</v>
      </c>
      <c r="E54" t="s">
        <v>47</v>
      </c>
      <c r="F54">
        <v>122</v>
      </c>
      <c r="G54">
        <v>8.4</v>
      </c>
      <c r="H54">
        <v>265.89999999999998</v>
      </c>
      <c r="I54" t="s">
        <v>44</v>
      </c>
      <c r="J54" t="s">
        <v>16</v>
      </c>
    </row>
    <row r="55" spans="1:10" x14ac:dyDescent="0.3">
      <c r="A55" t="s">
        <v>113</v>
      </c>
      <c r="B55" t="s">
        <v>12</v>
      </c>
      <c r="C55" t="s">
        <v>19</v>
      </c>
      <c r="D55">
        <v>2020</v>
      </c>
      <c r="E55" t="s">
        <v>25</v>
      </c>
      <c r="F55">
        <v>114</v>
      </c>
      <c r="G55">
        <v>6.2</v>
      </c>
      <c r="H55">
        <v>88.2</v>
      </c>
      <c r="I55" t="s">
        <v>56</v>
      </c>
      <c r="J55" t="s">
        <v>33</v>
      </c>
    </row>
    <row r="56" spans="1:10" x14ac:dyDescent="0.3">
      <c r="A56" t="s">
        <v>114</v>
      </c>
      <c r="B56" t="s">
        <v>29</v>
      </c>
      <c r="C56" t="s">
        <v>50</v>
      </c>
      <c r="D56">
        <v>2024</v>
      </c>
      <c r="E56" t="s">
        <v>39</v>
      </c>
      <c r="F56">
        <v>99</v>
      </c>
      <c r="G56">
        <v>6.6</v>
      </c>
      <c r="H56">
        <v>300.10000000000002</v>
      </c>
      <c r="I56" t="s">
        <v>44</v>
      </c>
      <c r="J56" t="s">
        <v>62</v>
      </c>
    </row>
    <row r="57" spans="1:10" x14ac:dyDescent="0.3">
      <c r="A57" t="s">
        <v>115</v>
      </c>
      <c r="B57" t="s">
        <v>12</v>
      </c>
      <c r="C57" t="s">
        <v>54</v>
      </c>
      <c r="D57">
        <v>2024</v>
      </c>
      <c r="E57" t="s">
        <v>68</v>
      </c>
      <c r="F57">
        <v>66</v>
      </c>
      <c r="G57">
        <v>6.9</v>
      </c>
      <c r="H57">
        <v>182.6</v>
      </c>
      <c r="I57" t="s">
        <v>69</v>
      </c>
      <c r="J57" t="s">
        <v>16</v>
      </c>
    </row>
    <row r="58" spans="1:10" x14ac:dyDescent="0.3">
      <c r="A58" t="s">
        <v>116</v>
      </c>
      <c r="B58" t="s">
        <v>12</v>
      </c>
      <c r="C58" t="s">
        <v>82</v>
      </c>
      <c r="D58">
        <v>2017</v>
      </c>
      <c r="E58" t="s">
        <v>68</v>
      </c>
      <c r="F58">
        <v>35</v>
      </c>
      <c r="G58">
        <v>6.1</v>
      </c>
      <c r="H58">
        <v>249.2</v>
      </c>
      <c r="I58" t="s">
        <v>117</v>
      </c>
      <c r="J58" t="s">
        <v>64</v>
      </c>
    </row>
    <row r="59" spans="1:10" x14ac:dyDescent="0.3">
      <c r="A59" t="s">
        <v>118</v>
      </c>
      <c r="B59" t="s">
        <v>12</v>
      </c>
      <c r="C59" t="s">
        <v>42</v>
      </c>
      <c r="D59">
        <v>2025</v>
      </c>
      <c r="E59" t="s">
        <v>36</v>
      </c>
      <c r="F59">
        <v>53</v>
      </c>
      <c r="G59">
        <v>8.1999999999999993</v>
      </c>
      <c r="H59">
        <v>94.2</v>
      </c>
      <c r="I59" t="s">
        <v>21</v>
      </c>
      <c r="J59" t="s">
        <v>105</v>
      </c>
    </row>
    <row r="60" spans="1:10" x14ac:dyDescent="0.3">
      <c r="A60" t="s">
        <v>119</v>
      </c>
      <c r="B60" t="s">
        <v>29</v>
      </c>
      <c r="C60" t="s">
        <v>54</v>
      </c>
      <c r="D60">
        <v>2016</v>
      </c>
      <c r="E60" t="s">
        <v>58</v>
      </c>
      <c r="F60">
        <v>106</v>
      </c>
      <c r="G60">
        <v>8.5</v>
      </c>
      <c r="H60">
        <v>222.7</v>
      </c>
      <c r="I60" t="s">
        <v>15</v>
      </c>
      <c r="J60" t="s">
        <v>33</v>
      </c>
    </row>
    <row r="61" spans="1:10" x14ac:dyDescent="0.3">
      <c r="A61" t="s">
        <v>120</v>
      </c>
      <c r="B61" t="s">
        <v>12</v>
      </c>
      <c r="C61" t="s">
        <v>42</v>
      </c>
      <c r="D61">
        <v>2017</v>
      </c>
      <c r="E61" t="s">
        <v>68</v>
      </c>
      <c r="F61">
        <v>113</v>
      </c>
      <c r="G61">
        <v>5</v>
      </c>
      <c r="H61">
        <v>275.3</v>
      </c>
      <c r="I61" t="s">
        <v>32</v>
      </c>
      <c r="J61" t="s">
        <v>33</v>
      </c>
    </row>
    <row r="62" spans="1:10" x14ac:dyDescent="0.3">
      <c r="A62" t="s">
        <v>121</v>
      </c>
      <c r="B62" t="s">
        <v>12</v>
      </c>
      <c r="C62" t="s">
        <v>82</v>
      </c>
      <c r="D62">
        <v>2023</v>
      </c>
      <c r="E62" t="s">
        <v>58</v>
      </c>
      <c r="F62">
        <v>31</v>
      </c>
      <c r="G62">
        <v>7.2</v>
      </c>
      <c r="H62">
        <v>325.2</v>
      </c>
      <c r="I62" t="s">
        <v>32</v>
      </c>
      <c r="J62" t="s">
        <v>45</v>
      </c>
    </row>
    <row r="63" spans="1:10" x14ac:dyDescent="0.3">
      <c r="A63" t="s">
        <v>122</v>
      </c>
      <c r="B63" t="s">
        <v>12</v>
      </c>
      <c r="C63" t="s">
        <v>84</v>
      </c>
      <c r="D63">
        <v>2025</v>
      </c>
      <c r="E63" t="s">
        <v>71</v>
      </c>
      <c r="F63">
        <v>96</v>
      </c>
      <c r="G63">
        <v>7.4</v>
      </c>
      <c r="H63">
        <v>335</v>
      </c>
      <c r="I63" t="s">
        <v>87</v>
      </c>
      <c r="J63" t="s">
        <v>16</v>
      </c>
    </row>
    <row r="64" spans="1:10" x14ac:dyDescent="0.3">
      <c r="A64" t="s">
        <v>123</v>
      </c>
      <c r="B64" t="s">
        <v>12</v>
      </c>
      <c r="C64" t="s">
        <v>67</v>
      </c>
      <c r="D64">
        <v>2022</v>
      </c>
      <c r="E64" t="s">
        <v>31</v>
      </c>
      <c r="F64">
        <v>120</v>
      </c>
      <c r="G64">
        <v>8.4</v>
      </c>
      <c r="H64">
        <v>185</v>
      </c>
      <c r="I64" t="s">
        <v>69</v>
      </c>
      <c r="J64" t="s">
        <v>62</v>
      </c>
    </row>
    <row r="65" spans="1:10" x14ac:dyDescent="0.3">
      <c r="A65" t="s">
        <v>124</v>
      </c>
      <c r="B65" t="s">
        <v>29</v>
      </c>
      <c r="C65" t="s">
        <v>67</v>
      </c>
      <c r="D65">
        <v>2022</v>
      </c>
      <c r="E65" t="s">
        <v>68</v>
      </c>
      <c r="F65">
        <v>95</v>
      </c>
      <c r="G65">
        <v>6.1</v>
      </c>
      <c r="H65">
        <v>73.2</v>
      </c>
      <c r="I65" t="s">
        <v>44</v>
      </c>
      <c r="J65" t="s">
        <v>105</v>
      </c>
    </row>
    <row r="66" spans="1:10" x14ac:dyDescent="0.3">
      <c r="A66" t="s">
        <v>125</v>
      </c>
      <c r="B66" t="s">
        <v>12</v>
      </c>
      <c r="C66" t="s">
        <v>30</v>
      </c>
      <c r="D66">
        <v>2023</v>
      </c>
      <c r="E66" t="s">
        <v>43</v>
      </c>
      <c r="F66">
        <v>42</v>
      </c>
      <c r="G66">
        <v>5.6</v>
      </c>
      <c r="H66">
        <v>164.9</v>
      </c>
      <c r="I66" t="s">
        <v>59</v>
      </c>
      <c r="J66" t="s">
        <v>105</v>
      </c>
    </row>
    <row r="67" spans="1:10" x14ac:dyDescent="0.3">
      <c r="A67" t="s">
        <v>126</v>
      </c>
      <c r="B67" t="s">
        <v>12</v>
      </c>
      <c r="C67" t="s">
        <v>19</v>
      </c>
      <c r="D67">
        <v>2020</v>
      </c>
      <c r="E67" t="s">
        <v>71</v>
      </c>
      <c r="F67">
        <v>84</v>
      </c>
      <c r="G67">
        <v>6.7</v>
      </c>
      <c r="H67">
        <v>112.1</v>
      </c>
      <c r="I67" t="s">
        <v>56</v>
      </c>
      <c r="J67" t="s">
        <v>33</v>
      </c>
    </row>
    <row r="68" spans="1:10" x14ac:dyDescent="0.3">
      <c r="A68" t="s">
        <v>127</v>
      </c>
      <c r="B68" t="s">
        <v>29</v>
      </c>
      <c r="C68" t="s">
        <v>54</v>
      </c>
      <c r="D68">
        <v>2015</v>
      </c>
      <c r="E68" t="s">
        <v>39</v>
      </c>
      <c r="F68">
        <v>104</v>
      </c>
      <c r="G68">
        <v>6.9</v>
      </c>
      <c r="H68">
        <v>332.8</v>
      </c>
      <c r="I68" t="s">
        <v>44</v>
      </c>
      <c r="J68" t="s">
        <v>33</v>
      </c>
    </row>
    <row r="69" spans="1:10" x14ac:dyDescent="0.3">
      <c r="A69" t="s">
        <v>128</v>
      </c>
      <c r="B69" t="s">
        <v>29</v>
      </c>
      <c r="C69" t="s">
        <v>19</v>
      </c>
      <c r="D69">
        <v>2023</v>
      </c>
      <c r="E69" t="s">
        <v>51</v>
      </c>
      <c r="F69">
        <v>127</v>
      </c>
      <c r="G69">
        <v>7.2</v>
      </c>
      <c r="H69">
        <v>231</v>
      </c>
      <c r="I69" t="s">
        <v>69</v>
      </c>
      <c r="J69" t="s">
        <v>45</v>
      </c>
    </row>
    <row r="70" spans="1:10" x14ac:dyDescent="0.3">
      <c r="A70" t="s">
        <v>129</v>
      </c>
      <c r="B70" t="s">
        <v>12</v>
      </c>
      <c r="C70" t="s">
        <v>19</v>
      </c>
      <c r="D70">
        <v>2022</v>
      </c>
      <c r="E70" t="s">
        <v>20</v>
      </c>
      <c r="F70">
        <v>74</v>
      </c>
      <c r="G70">
        <v>6.3</v>
      </c>
      <c r="H70">
        <v>253.7</v>
      </c>
      <c r="I70" t="s">
        <v>56</v>
      </c>
      <c r="J70" t="s">
        <v>26</v>
      </c>
    </row>
    <row r="71" spans="1:10" x14ac:dyDescent="0.3">
      <c r="A71" t="s">
        <v>130</v>
      </c>
      <c r="B71" t="s">
        <v>29</v>
      </c>
      <c r="C71" t="s">
        <v>50</v>
      </c>
      <c r="D71">
        <v>2024</v>
      </c>
      <c r="E71" t="s">
        <v>71</v>
      </c>
      <c r="F71">
        <v>81</v>
      </c>
      <c r="G71">
        <v>8.6</v>
      </c>
      <c r="H71">
        <v>227.6</v>
      </c>
      <c r="I71" t="s">
        <v>48</v>
      </c>
      <c r="J71" t="s">
        <v>77</v>
      </c>
    </row>
    <row r="72" spans="1:10" x14ac:dyDescent="0.3">
      <c r="A72" t="s">
        <v>131</v>
      </c>
      <c r="B72" t="s">
        <v>12</v>
      </c>
      <c r="C72" t="s">
        <v>19</v>
      </c>
      <c r="D72">
        <v>2017</v>
      </c>
      <c r="E72" t="s">
        <v>58</v>
      </c>
      <c r="F72">
        <v>48</v>
      </c>
      <c r="G72">
        <v>5.2</v>
      </c>
      <c r="H72">
        <v>163.69999999999999</v>
      </c>
      <c r="I72" t="s">
        <v>69</v>
      </c>
      <c r="J72" t="s">
        <v>45</v>
      </c>
    </row>
    <row r="73" spans="1:10" x14ac:dyDescent="0.3">
      <c r="A73" t="s">
        <v>132</v>
      </c>
      <c r="B73" t="s">
        <v>12</v>
      </c>
      <c r="C73" t="s">
        <v>19</v>
      </c>
      <c r="D73">
        <v>2019</v>
      </c>
      <c r="E73" t="s">
        <v>25</v>
      </c>
      <c r="F73">
        <v>57</v>
      </c>
      <c r="G73">
        <v>8.3000000000000007</v>
      </c>
      <c r="H73">
        <v>191.1</v>
      </c>
      <c r="I73" t="s">
        <v>15</v>
      </c>
      <c r="J73" t="s">
        <v>16</v>
      </c>
    </row>
    <row r="74" spans="1:10" x14ac:dyDescent="0.3">
      <c r="A74" t="s">
        <v>133</v>
      </c>
      <c r="B74" t="s">
        <v>12</v>
      </c>
      <c r="C74" t="s">
        <v>30</v>
      </c>
      <c r="D74">
        <v>2018</v>
      </c>
      <c r="E74" t="s">
        <v>68</v>
      </c>
      <c r="F74">
        <v>33</v>
      </c>
      <c r="G74">
        <v>8.1</v>
      </c>
      <c r="H74">
        <v>245.5</v>
      </c>
      <c r="I74" t="s">
        <v>21</v>
      </c>
      <c r="J74" t="s">
        <v>105</v>
      </c>
    </row>
    <row r="75" spans="1:10" x14ac:dyDescent="0.3">
      <c r="A75" t="s">
        <v>134</v>
      </c>
      <c r="B75" t="s">
        <v>12</v>
      </c>
      <c r="C75" t="s">
        <v>13</v>
      </c>
      <c r="D75">
        <v>2024</v>
      </c>
      <c r="E75" t="s">
        <v>31</v>
      </c>
      <c r="F75">
        <v>55</v>
      </c>
      <c r="G75">
        <v>5.5</v>
      </c>
      <c r="H75">
        <v>250.8</v>
      </c>
      <c r="I75" t="s">
        <v>117</v>
      </c>
      <c r="J75" t="s">
        <v>105</v>
      </c>
    </row>
    <row r="76" spans="1:10" x14ac:dyDescent="0.3">
      <c r="A76" t="s">
        <v>135</v>
      </c>
      <c r="B76" t="s">
        <v>12</v>
      </c>
      <c r="C76" t="s">
        <v>38</v>
      </c>
      <c r="D76">
        <v>2020</v>
      </c>
      <c r="E76" t="s">
        <v>31</v>
      </c>
      <c r="F76">
        <v>102</v>
      </c>
      <c r="G76">
        <v>7.4</v>
      </c>
      <c r="H76">
        <v>274.39999999999998</v>
      </c>
      <c r="I76" t="s">
        <v>32</v>
      </c>
      <c r="J76" t="s">
        <v>26</v>
      </c>
    </row>
    <row r="77" spans="1:10" x14ac:dyDescent="0.3">
      <c r="A77" t="s">
        <v>136</v>
      </c>
      <c r="B77" t="s">
        <v>29</v>
      </c>
      <c r="C77" t="s">
        <v>93</v>
      </c>
      <c r="D77">
        <v>2024</v>
      </c>
      <c r="E77" t="s">
        <v>20</v>
      </c>
      <c r="F77">
        <v>139</v>
      </c>
      <c r="G77">
        <v>6.2</v>
      </c>
      <c r="H77">
        <v>253.2</v>
      </c>
      <c r="I77" t="s">
        <v>56</v>
      </c>
      <c r="J77" t="s">
        <v>33</v>
      </c>
    </row>
    <row r="78" spans="1:10" x14ac:dyDescent="0.3">
      <c r="A78" t="s">
        <v>137</v>
      </c>
      <c r="B78" t="s">
        <v>29</v>
      </c>
      <c r="C78" t="s">
        <v>42</v>
      </c>
      <c r="D78">
        <v>2016</v>
      </c>
      <c r="E78" t="s">
        <v>39</v>
      </c>
      <c r="F78">
        <v>124</v>
      </c>
      <c r="G78">
        <v>8.3000000000000007</v>
      </c>
      <c r="H78">
        <v>122.9</v>
      </c>
      <c r="I78" t="s">
        <v>15</v>
      </c>
      <c r="J78" t="s">
        <v>62</v>
      </c>
    </row>
    <row r="79" spans="1:10" x14ac:dyDescent="0.3">
      <c r="A79" t="s">
        <v>138</v>
      </c>
      <c r="B79" t="s">
        <v>29</v>
      </c>
      <c r="C79" t="s">
        <v>54</v>
      </c>
      <c r="D79">
        <v>2016</v>
      </c>
      <c r="E79" t="s">
        <v>39</v>
      </c>
      <c r="F79">
        <v>130</v>
      </c>
      <c r="G79">
        <v>5.2</v>
      </c>
      <c r="H79">
        <v>209.8</v>
      </c>
      <c r="I79" t="s">
        <v>48</v>
      </c>
      <c r="J79" t="s">
        <v>64</v>
      </c>
    </row>
    <row r="80" spans="1:10" x14ac:dyDescent="0.3">
      <c r="A80" t="s">
        <v>139</v>
      </c>
      <c r="B80" t="s">
        <v>12</v>
      </c>
      <c r="C80" t="s">
        <v>24</v>
      </c>
      <c r="D80">
        <v>2020</v>
      </c>
      <c r="E80" t="s">
        <v>20</v>
      </c>
      <c r="F80">
        <v>133</v>
      </c>
      <c r="G80">
        <v>6.7</v>
      </c>
      <c r="H80">
        <v>197.1</v>
      </c>
      <c r="I80" t="s">
        <v>56</v>
      </c>
      <c r="J80" t="s">
        <v>64</v>
      </c>
    </row>
    <row r="81" spans="1:10" x14ac:dyDescent="0.3">
      <c r="A81" t="s">
        <v>140</v>
      </c>
      <c r="B81" t="s">
        <v>12</v>
      </c>
      <c r="C81" t="s">
        <v>84</v>
      </c>
      <c r="D81">
        <v>2017</v>
      </c>
      <c r="E81" t="s">
        <v>25</v>
      </c>
      <c r="F81">
        <v>47</v>
      </c>
      <c r="G81">
        <v>7.9</v>
      </c>
      <c r="H81">
        <v>339.6</v>
      </c>
      <c r="I81" t="s">
        <v>44</v>
      </c>
      <c r="J81" t="s">
        <v>16</v>
      </c>
    </row>
    <row r="82" spans="1:10" x14ac:dyDescent="0.3">
      <c r="A82" t="s">
        <v>141</v>
      </c>
      <c r="B82" t="s">
        <v>29</v>
      </c>
      <c r="C82" t="s">
        <v>84</v>
      </c>
      <c r="D82">
        <v>2021</v>
      </c>
      <c r="E82" t="s">
        <v>51</v>
      </c>
      <c r="F82">
        <v>117</v>
      </c>
      <c r="G82">
        <v>6.1</v>
      </c>
      <c r="H82">
        <v>305.5</v>
      </c>
      <c r="I82" t="s">
        <v>32</v>
      </c>
      <c r="J82" t="s">
        <v>62</v>
      </c>
    </row>
    <row r="83" spans="1:10" x14ac:dyDescent="0.3">
      <c r="A83" t="s">
        <v>142</v>
      </c>
      <c r="B83" t="s">
        <v>29</v>
      </c>
      <c r="C83" t="s">
        <v>42</v>
      </c>
      <c r="D83">
        <v>2022</v>
      </c>
      <c r="E83" t="s">
        <v>39</v>
      </c>
      <c r="F83">
        <v>119</v>
      </c>
      <c r="G83">
        <v>7.7</v>
      </c>
      <c r="H83">
        <v>150.9</v>
      </c>
      <c r="I83" t="s">
        <v>87</v>
      </c>
      <c r="J83" t="s">
        <v>64</v>
      </c>
    </row>
    <row r="84" spans="1:10" x14ac:dyDescent="0.3">
      <c r="A84" t="s">
        <v>143</v>
      </c>
      <c r="B84" t="s">
        <v>12</v>
      </c>
      <c r="C84" t="s">
        <v>42</v>
      </c>
      <c r="D84">
        <v>2020</v>
      </c>
      <c r="E84" t="s">
        <v>36</v>
      </c>
      <c r="F84">
        <v>68</v>
      </c>
      <c r="G84">
        <v>6.1</v>
      </c>
      <c r="H84">
        <v>228.8</v>
      </c>
      <c r="I84" t="s">
        <v>44</v>
      </c>
      <c r="J84" t="s">
        <v>16</v>
      </c>
    </row>
    <row r="85" spans="1:10" x14ac:dyDescent="0.3">
      <c r="A85" t="s">
        <v>144</v>
      </c>
      <c r="B85" t="s">
        <v>12</v>
      </c>
      <c r="C85" t="s">
        <v>42</v>
      </c>
      <c r="D85">
        <v>2016</v>
      </c>
      <c r="E85" t="s">
        <v>14</v>
      </c>
      <c r="F85">
        <v>117</v>
      </c>
      <c r="G85">
        <v>6.6</v>
      </c>
      <c r="H85">
        <v>216.6</v>
      </c>
      <c r="I85" t="s">
        <v>69</v>
      </c>
      <c r="J85" t="s">
        <v>45</v>
      </c>
    </row>
    <row r="86" spans="1:10" x14ac:dyDescent="0.3">
      <c r="A86" t="s">
        <v>145</v>
      </c>
      <c r="B86" t="s">
        <v>12</v>
      </c>
      <c r="C86" t="s">
        <v>84</v>
      </c>
      <c r="D86">
        <v>2022</v>
      </c>
      <c r="E86" t="s">
        <v>20</v>
      </c>
      <c r="F86">
        <v>36</v>
      </c>
      <c r="G86">
        <v>6.2</v>
      </c>
      <c r="H86">
        <v>171.3</v>
      </c>
      <c r="I86" t="s">
        <v>69</v>
      </c>
      <c r="J86" t="s">
        <v>62</v>
      </c>
    </row>
    <row r="87" spans="1:10" x14ac:dyDescent="0.3">
      <c r="A87" t="s">
        <v>146</v>
      </c>
      <c r="B87" t="s">
        <v>29</v>
      </c>
      <c r="C87" t="s">
        <v>30</v>
      </c>
      <c r="D87">
        <v>2022</v>
      </c>
      <c r="E87" t="s">
        <v>71</v>
      </c>
      <c r="F87">
        <v>113</v>
      </c>
      <c r="G87">
        <v>6.4</v>
      </c>
      <c r="H87">
        <v>349</v>
      </c>
      <c r="I87" t="s">
        <v>61</v>
      </c>
      <c r="J87" t="s">
        <v>64</v>
      </c>
    </row>
    <row r="88" spans="1:10" x14ac:dyDescent="0.3">
      <c r="A88" t="s">
        <v>147</v>
      </c>
      <c r="B88" t="s">
        <v>12</v>
      </c>
      <c r="C88" t="s">
        <v>84</v>
      </c>
      <c r="D88">
        <v>2019</v>
      </c>
      <c r="E88" t="s">
        <v>36</v>
      </c>
      <c r="F88">
        <v>57</v>
      </c>
      <c r="G88">
        <v>5.9</v>
      </c>
      <c r="H88">
        <v>266.39999999999998</v>
      </c>
      <c r="I88" t="s">
        <v>99</v>
      </c>
      <c r="J88" t="s">
        <v>40</v>
      </c>
    </row>
    <row r="89" spans="1:10" x14ac:dyDescent="0.3">
      <c r="A89" t="s">
        <v>121</v>
      </c>
      <c r="B89" t="s">
        <v>29</v>
      </c>
      <c r="C89" t="s">
        <v>82</v>
      </c>
      <c r="D89">
        <v>2017</v>
      </c>
      <c r="E89" t="s">
        <v>14</v>
      </c>
      <c r="F89">
        <v>93</v>
      </c>
      <c r="G89">
        <v>8</v>
      </c>
      <c r="H89">
        <v>132.9</v>
      </c>
      <c r="I89" t="s">
        <v>117</v>
      </c>
      <c r="J89" t="s">
        <v>16</v>
      </c>
    </row>
    <row r="90" spans="1:10" x14ac:dyDescent="0.3">
      <c r="A90" t="s">
        <v>148</v>
      </c>
      <c r="B90" t="s">
        <v>12</v>
      </c>
      <c r="C90" t="s">
        <v>93</v>
      </c>
      <c r="D90">
        <v>2018</v>
      </c>
      <c r="E90" t="s">
        <v>36</v>
      </c>
      <c r="F90">
        <v>54</v>
      </c>
      <c r="G90">
        <v>6.4</v>
      </c>
      <c r="H90">
        <v>140.69999999999999</v>
      </c>
      <c r="I90" t="s">
        <v>15</v>
      </c>
      <c r="J90" t="s">
        <v>16</v>
      </c>
    </row>
    <row r="91" spans="1:10" x14ac:dyDescent="0.3">
      <c r="A91" t="s">
        <v>149</v>
      </c>
      <c r="B91" t="s">
        <v>12</v>
      </c>
      <c r="C91" t="s">
        <v>13</v>
      </c>
      <c r="D91">
        <v>2015</v>
      </c>
      <c r="E91" t="s">
        <v>71</v>
      </c>
      <c r="F91">
        <v>62</v>
      </c>
      <c r="G91">
        <v>7.8</v>
      </c>
      <c r="H91">
        <v>87.9</v>
      </c>
      <c r="I91" t="s">
        <v>87</v>
      </c>
      <c r="J91" t="s">
        <v>40</v>
      </c>
    </row>
    <row r="92" spans="1:10" x14ac:dyDescent="0.3">
      <c r="A92" t="s">
        <v>150</v>
      </c>
      <c r="B92" t="s">
        <v>29</v>
      </c>
      <c r="C92" t="s">
        <v>54</v>
      </c>
      <c r="D92">
        <v>2019</v>
      </c>
      <c r="E92" t="s">
        <v>58</v>
      </c>
      <c r="F92">
        <v>110</v>
      </c>
      <c r="G92">
        <v>6.8</v>
      </c>
      <c r="H92">
        <v>105.3</v>
      </c>
      <c r="I92" t="s">
        <v>21</v>
      </c>
      <c r="J92" t="s">
        <v>62</v>
      </c>
    </row>
    <row r="93" spans="1:10" x14ac:dyDescent="0.3">
      <c r="A93" t="s">
        <v>151</v>
      </c>
      <c r="B93" t="s">
        <v>29</v>
      </c>
      <c r="C93" t="s">
        <v>84</v>
      </c>
      <c r="D93">
        <v>2016</v>
      </c>
      <c r="E93" t="s">
        <v>43</v>
      </c>
      <c r="F93">
        <v>105</v>
      </c>
      <c r="G93">
        <v>7</v>
      </c>
      <c r="H93">
        <v>223.1</v>
      </c>
      <c r="I93" t="s">
        <v>48</v>
      </c>
      <c r="J93" t="s">
        <v>77</v>
      </c>
    </row>
    <row r="94" spans="1:10" x14ac:dyDescent="0.3">
      <c r="A94" t="s">
        <v>152</v>
      </c>
      <c r="B94" t="s">
        <v>12</v>
      </c>
      <c r="C94" t="s">
        <v>54</v>
      </c>
      <c r="D94">
        <v>2019</v>
      </c>
      <c r="E94" t="s">
        <v>43</v>
      </c>
      <c r="F94">
        <v>56</v>
      </c>
      <c r="G94">
        <v>5.5</v>
      </c>
      <c r="H94">
        <v>279.3</v>
      </c>
      <c r="I94" t="s">
        <v>117</v>
      </c>
      <c r="J94" t="s">
        <v>105</v>
      </c>
    </row>
    <row r="95" spans="1:10" x14ac:dyDescent="0.3">
      <c r="A95" t="s">
        <v>153</v>
      </c>
      <c r="B95" t="s">
        <v>29</v>
      </c>
      <c r="C95" t="s">
        <v>19</v>
      </c>
      <c r="D95">
        <v>2022</v>
      </c>
      <c r="E95" t="s">
        <v>58</v>
      </c>
      <c r="F95">
        <v>99</v>
      </c>
      <c r="G95">
        <v>8.4</v>
      </c>
      <c r="H95">
        <v>347</v>
      </c>
      <c r="I95" t="s">
        <v>44</v>
      </c>
      <c r="J95" t="s">
        <v>77</v>
      </c>
    </row>
    <row r="96" spans="1:10" x14ac:dyDescent="0.3">
      <c r="A96" t="s">
        <v>154</v>
      </c>
      <c r="B96" t="s">
        <v>12</v>
      </c>
      <c r="C96" t="s">
        <v>82</v>
      </c>
      <c r="D96">
        <v>2016</v>
      </c>
      <c r="E96" t="s">
        <v>14</v>
      </c>
      <c r="F96">
        <v>105</v>
      </c>
      <c r="G96">
        <v>5.8</v>
      </c>
      <c r="H96">
        <v>248.1</v>
      </c>
      <c r="I96" t="s">
        <v>59</v>
      </c>
      <c r="J96" t="s">
        <v>105</v>
      </c>
    </row>
    <row r="97" spans="1:10" x14ac:dyDescent="0.3">
      <c r="A97" t="s">
        <v>155</v>
      </c>
      <c r="B97" t="s">
        <v>12</v>
      </c>
      <c r="C97" t="s">
        <v>93</v>
      </c>
      <c r="D97">
        <v>2017</v>
      </c>
      <c r="E97" t="s">
        <v>20</v>
      </c>
      <c r="F97">
        <v>77</v>
      </c>
      <c r="G97">
        <v>6.8</v>
      </c>
      <c r="H97">
        <v>228.1</v>
      </c>
      <c r="I97" t="s">
        <v>44</v>
      </c>
      <c r="J97" t="s">
        <v>77</v>
      </c>
    </row>
    <row r="98" spans="1:10" x14ac:dyDescent="0.3">
      <c r="A98" t="s">
        <v>156</v>
      </c>
      <c r="B98" t="s">
        <v>12</v>
      </c>
      <c r="C98" t="s">
        <v>82</v>
      </c>
      <c r="D98">
        <v>2019</v>
      </c>
      <c r="E98" t="s">
        <v>51</v>
      </c>
      <c r="F98">
        <v>135</v>
      </c>
      <c r="G98">
        <v>6.8</v>
      </c>
      <c r="H98">
        <v>256.2</v>
      </c>
      <c r="I98" t="s">
        <v>44</v>
      </c>
      <c r="J98" t="s">
        <v>105</v>
      </c>
    </row>
    <row r="99" spans="1:10" x14ac:dyDescent="0.3">
      <c r="A99" t="s">
        <v>157</v>
      </c>
      <c r="B99" t="s">
        <v>12</v>
      </c>
      <c r="C99" t="s">
        <v>67</v>
      </c>
      <c r="D99">
        <v>2018</v>
      </c>
      <c r="E99" t="s">
        <v>68</v>
      </c>
      <c r="F99">
        <v>44</v>
      </c>
      <c r="G99">
        <v>8.6</v>
      </c>
      <c r="H99">
        <v>298</v>
      </c>
      <c r="I99" t="s">
        <v>32</v>
      </c>
      <c r="J99" t="s">
        <v>77</v>
      </c>
    </row>
    <row r="100" spans="1:10" x14ac:dyDescent="0.3">
      <c r="A100" t="s">
        <v>158</v>
      </c>
      <c r="B100" t="s">
        <v>12</v>
      </c>
      <c r="C100" t="s">
        <v>38</v>
      </c>
      <c r="D100">
        <v>2024</v>
      </c>
      <c r="E100" t="s">
        <v>51</v>
      </c>
      <c r="F100">
        <v>130</v>
      </c>
      <c r="G100">
        <v>7.3</v>
      </c>
      <c r="H100">
        <v>136.6</v>
      </c>
      <c r="I100" t="s">
        <v>32</v>
      </c>
      <c r="J100" t="s">
        <v>45</v>
      </c>
    </row>
    <row r="101" spans="1:10" x14ac:dyDescent="0.3">
      <c r="A101" t="s">
        <v>159</v>
      </c>
      <c r="B101" t="s">
        <v>29</v>
      </c>
      <c r="C101" t="s">
        <v>82</v>
      </c>
      <c r="D101">
        <v>2021</v>
      </c>
      <c r="E101" t="s">
        <v>36</v>
      </c>
      <c r="F101">
        <v>112</v>
      </c>
      <c r="G101">
        <v>7.2</v>
      </c>
      <c r="H101">
        <v>181.3</v>
      </c>
      <c r="I101" t="s">
        <v>117</v>
      </c>
      <c r="J101" t="s">
        <v>77</v>
      </c>
    </row>
  </sheetData>
  <conditionalFormatting sqref="G2:G101">
    <cfRule type="dataBar" priority="2">
      <dataBar>
        <cfvo type="min"/>
        <cfvo type="max"/>
        <color rgb="FF63BE7B"/>
      </dataBar>
    </cfRule>
  </conditionalFormatting>
  <conditionalFormatting sqref="H2:H1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CA04-8390-4734-991F-3D00B63C9BB8}">
  <dimension ref="A1:E28"/>
  <sheetViews>
    <sheetView workbookViewId="0">
      <selection activeCell="I5" sqref="I5"/>
    </sheetView>
  </sheetViews>
  <sheetFormatPr defaultRowHeight="14.4" x14ac:dyDescent="0.3"/>
  <cols>
    <col min="1" max="1" width="34.44140625" bestFit="1" customWidth="1"/>
    <col min="2" max="2" width="13.77734375" bestFit="1" customWidth="1"/>
    <col min="3" max="3" width="13.77734375" customWidth="1"/>
    <col min="4" max="4" width="12" bestFit="1" customWidth="1"/>
    <col min="5" max="5" width="13.77734375" bestFit="1" customWidth="1"/>
  </cols>
  <sheetData>
    <row r="1" spans="1:5" x14ac:dyDescent="0.3">
      <c r="A1" t="s">
        <v>160</v>
      </c>
      <c r="B1" t="s">
        <v>7</v>
      </c>
      <c r="D1" t="s">
        <v>4</v>
      </c>
      <c r="E1" t="s">
        <v>161</v>
      </c>
    </row>
    <row r="2" spans="1:5" x14ac:dyDescent="0.3">
      <c r="A2" t="s">
        <v>146</v>
      </c>
      <c r="B2">
        <v>349</v>
      </c>
      <c r="D2" t="s">
        <v>39</v>
      </c>
      <c r="E2">
        <v>1795.6</v>
      </c>
    </row>
    <row r="3" spans="1:5" x14ac:dyDescent="0.3">
      <c r="A3" t="s">
        <v>60</v>
      </c>
      <c r="B3">
        <v>348.8</v>
      </c>
      <c r="D3" t="s">
        <v>51</v>
      </c>
      <c r="E3">
        <v>2420.1999999999998</v>
      </c>
    </row>
    <row r="4" spans="1:5" x14ac:dyDescent="0.3">
      <c r="A4" t="s">
        <v>92</v>
      </c>
      <c r="B4">
        <v>348.8</v>
      </c>
      <c r="D4" t="s">
        <v>71</v>
      </c>
      <c r="E4">
        <v>1643.3</v>
      </c>
    </row>
    <row r="5" spans="1:5" x14ac:dyDescent="0.3">
      <c r="A5" t="s">
        <v>153</v>
      </c>
      <c r="B5">
        <v>347</v>
      </c>
      <c r="D5" t="s">
        <v>47</v>
      </c>
      <c r="E5">
        <v>519.29999999999995</v>
      </c>
    </row>
    <row r="6" spans="1:5" x14ac:dyDescent="0.3">
      <c r="A6" t="s">
        <v>140</v>
      </c>
      <c r="B6">
        <v>339.6</v>
      </c>
      <c r="D6" t="s">
        <v>58</v>
      </c>
      <c r="E6">
        <v>2512.3000000000002</v>
      </c>
    </row>
    <row r="7" spans="1:5" x14ac:dyDescent="0.3">
      <c r="A7" t="s">
        <v>122</v>
      </c>
      <c r="B7">
        <v>335</v>
      </c>
      <c r="D7" t="s">
        <v>14</v>
      </c>
      <c r="E7">
        <v>1338.8</v>
      </c>
    </row>
    <row r="8" spans="1:5" x14ac:dyDescent="0.3">
      <c r="A8" t="s">
        <v>72</v>
      </c>
      <c r="B8">
        <v>334.1</v>
      </c>
      <c r="D8" t="s">
        <v>25</v>
      </c>
      <c r="E8">
        <v>1338.7</v>
      </c>
    </row>
    <row r="9" spans="1:5" x14ac:dyDescent="0.3">
      <c r="A9" t="s">
        <v>127</v>
      </c>
      <c r="B9">
        <v>332.8</v>
      </c>
      <c r="D9" t="s">
        <v>68</v>
      </c>
      <c r="E9">
        <v>2157.8000000000002</v>
      </c>
    </row>
    <row r="10" spans="1:5" x14ac:dyDescent="0.3">
      <c r="A10" t="s">
        <v>108</v>
      </c>
      <c r="B10">
        <v>331.8</v>
      </c>
      <c r="D10" t="s">
        <v>43</v>
      </c>
      <c r="E10">
        <v>2254.3000000000002</v>
      </c>
    </row>
    <row r="11" spans="1:5" x14ac:dyDescent="0.3">
      <c r="A11" t="s">
        <v>104</v>
      </c>
      <c r="B11">
        <v>329.2</v>
      </c>
      <c r="D11" t="s">
        <v>31</v>
      </c>
      <c r="E11">
        <v>1495.8</v>
      </c>
    </row>
    <row r="12" spans="1:5" x14ac:dyDescent="0.3">
      <c r="D12" t="s">
        <v>36</v>
      </c>
      <c r="E12">
        <v>1371.9</v>
      </c>
    </row>
    <row r="13" spans="1:5" x14ac:dyDescent="0.3">
      <c r="D13" t="s">
        <v>20</v>
      </c>
      <c r="E13">
        <v>2042.2</v>
      </c>
    </row>
    <row r="16" spans="1:5" x14ac:dyDescent="0.3">
      <c r="D16" t="s">
        <v>2</v>
      </c>
      <c r="E16" t="s">
        <v>162</v>
      </c>
    </row>
    <row r="17" spans="4:5" x14ac:dyDescent="0.3">
      <c r="D17" t="s">
        <v>50</v>
      </c>
      <c r="E17">
        <v>7.25</v>
      </c>
    </row>
    <row r="18" spans="4:5" x14ac:dyDescent="0.3">
      <c r="D18" t="s">
        <v>82</v>
      </c>
      <c r="E18">
        <v>6.73</v>
      </c>
    </row>
    <row r="19" spans="4:5" x14ac:dyDescent="0.3">
      <c r="D19" t="s">
        <v>42</v>
      </c>
      <c r="E19">
        <v>6.79</v>
      </c>
    </row>
    <row r="20" spans="4:5" x14ac:dyDescent="0.3">
      <c r="D20" t="s">
        <v>24</v>
      </c>
      <c r="E20">
        <v>6.87</v>
      </c>
    </row>
    <row r="21" spans="4:5" x14ac:dyDescent="0.3">
      <c r="D21" t="s">
        <v>84</v>
      </c>
      <c r="E21">
        <v>6.96</v>
      </c>
    </row>
    <row r="22" spans="4:5" x14ac:dyDescent="0.3">
      <c r="D22" t="s">
        <v>13</v>
      </c>
      <c r="E22">
        <v>6.74</v>
      </c>
    </row>
    <row r="23" spans="4:5" x14ac:dyDescent="0.3">
      <c r="D23" t="s">
        <v>67</v>
      </c>
      <c r="E23">
        <v>7.27</v>
      </c>
    </row>
    <row r="24" spans="4:5" x14ac:dyDescent="0.3">
      <c r="D24" t="s">
        <v>30</v>
      </c>
      <c r="E24">
        <v>6.67</v>
      </c>
    </row>
    <row r="25" spans="4:5" x14ac:dyDescent="0.3">
      <c r="D25" t="s">
        <v>54</v>
      </c>
      <c r="E25">
        <v>6.6</v>
      </c>
    </row>
    <row r="26" spans="4:5" x14ac:dyDescent="0.3">
      <c r="D26" t="s">
        <v>19</v>
      </c>
      <c r="E26">
        <v>6.87</v>
      </c>
    </row>
    <row r="27" spans="4:5" x14ac:dyDescent="0.3">
      <c r="D27" t="s">
        <v>38</v>
      </c>
      <c r="E27">
        <v>7.06</v>
      </c>
    </row>
    <row r="28" spans="4:5" x14ac:dyDescent="0.3">
      <c r="D28" t="s">
        <v>93</v>
      </c>
      <c r="E28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4D93-2A0F-4963-A7A6-8D71BD1B9B06}">
  <dimension ref="A1"/>
  <sheetViews>
    <sheetView topLeftCell="A10" workbookViewId="0">
      <selection activeCell="O25" sqref="O2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"/>
  <sheetViews>
    <sheetView tabSelected="1" workbookViewId="0">
      <selection activeCell="F6" sqref="F6"/>
    </sheetView>
  </sheetViews>
  <sheetFormatPr defaultRowHeight="14.4" x14ac:dyDescent="0.3"/>
  <cols>
    <col min="1" max="1" width="28.5546875" bestFit="1" customWidth="1"/>
    <col min="2" max="2" width="13.77734375" bestFit="1" customWidth="1"/>
  </cols>
  <sheetData>
    <row r="1" spans="1:2" x14ac:dyDescent="0.3">
      <c r="A1" t="s">
        <v>163</v>
      </c>
      <c r="B1" t="s">
        <v>173</v>
      </c>
    </row>
    <row r="2" spans="1:2" x14ac:dyDescent="0.3">
      <c r="A2" t="s">
        <v>2</v>
      </c>
      <c r="B2" t="s">
        <v>7</v>
      </c>
    </row>
    <row r="3" spans="1:2" x14ac:dyDescent="0.3">
      <c r="A3" t="s">
        <v>19</v>
      </c>
      <c r="B3">
        <v>2796.1</v>
      </c>
    </row>
    <row r="4" spans="1:2" x14ac:dyDescent="0.3">
      <c r="A4" t="s">
        <v>67</v>
      </c>
      <c r="B4">
        <v>2520.8000000000002</v>
      </c>
    </row>
    <row r="5" spans="1:2" x14ac:dyDescent="0.3">
      <c r="A5" t="s">
        <v>82</v>
      </c>
      <c r="B5">
        <v>2126.8000000000002</v>
      </c>
    </row>
    <row r="6" spans="1:2" x14ac:dyDescent="0.3">
      <c r="A6" t="s">
        <v>54</v>
      </c>
      <c r="B6">
        <v>2086</v>
      </c>
    </row>
    <row r="7" spans="1:2" x14ac:dyDescent="0.3">
      <c r="A7" t="s">
        <v>84</v>
      </c>
      <c r="B7">
        <v>1947.7</v>
      </c>
    </row>
    <row r="8" spans="1:2" x14ac:dyDescent="0.3">
      <c r="A8" t="s">
        <v>38</v>
      </c>
      <c r="B8">
        <v>1922.8</v>
      </c>
    </row>
    <row r="9" spans="1:2" x14ac:dyDescent="0.3">
      <c r="A9" t="s">
        <v>30</v>
      </c>
      <c r="B9">
        <v>1638.8</v>
      </c>
    </row>
    <row r="10" spans="1:2" x14ac:dyDescent="0.3">
      <c r="A10" t="s">
        <v>50</v>
      </c>
      <c r="B10">
        <v>1470.5</v>
      </c>
    </row>
    <row r="11" spans="1:2" x14ac:dyDescent="0.3">
      <c r="A11" t="s">
        <v>42</v>
      </c>
      <c r="B11">
        <v>1446.7</v>
      </c>
    </row>
    <row r="12" spans="1:2" x14ac:dyDescent="0.3">
      <c r="A12" t="s">
        <v>13</v>
      </c>
      <c r="B12">
        <v>1273.5999999999999</v>
      </c>
    </row>
    <row r="13" spans="1:2" x14ac:dyDescent="0.3">
      <c r="A13" t="s">
        <v>93</v>
      </c>
      <c r="B13">
        <v>1243.5</v>
      </c>
    </row>
    <row r="14" spans="1:2" x14ac:dyDescent="0.3">
      <c r="A14" t="s">
        <v>24</v>
      </c>
      <c r="B14">
        <v>416.9</v>
      </c>
    </row>
    <row r="16" spans="1:2" x14ac:dyDescent="0.3">
      <c r="A16" t="s">
        <v>164</v>
      </c>
      <c r="B16" t="s">
        <v>173</v>
      </c>
    </row>
    <row r="17" spans="1:2" x14ac:dyDescent="0.3">
      <c r="A17" t="s">
        <v>4</v>
      </c>
      <c r="B17" t="s">
        <v>7</v>
      </c>
    </row>
    <row r="18" spans="1:2" x14ac:dyDescent="0.3">
      <c r="A18" t="s">
        <v>58</v>
      </c>
      <c r="B18">
        <v>2512.3000000000002</v>
      </c>
    </row>
    <row r="19" spans="1:2" x14ac:dyDescent="0.3">
      <c r="A19" t="s">
        <v>51</v>
      </c>
      <c r="B19">
        <v>2420.1999999999998</v>
      </c>
    </row>
    <row r="20" spans="1:2" x14ac:dyDescent="0.3">
      <c r="A20" t="s">
        <v>43</v>
      </c>
      <c r="B20">
        <v>2254.3000000000002</v>
      </c>
    </row>
    <row r="21" spans="1:2" x14ac:dyDescent="0.3">
      <c r="A21" t="s">
        <v>68</v>
      </c>
      <c r="B21">
        <v>2157.8000000000002</v>
      </c>
    </row>
    <row r="22" spans="1:2" x14ac:dyDescent="0.3">
      <c r="A22" t="s">
        <v>20</v>
      </c>
      <c r="B22">
        <v>2042.2</v>
      </c>
    </row>
    <row r="23" spans="1:2" x14ac:dyDescent="0.3">
      <c r="A23" t="s">
        <v>39</v>
      </c>
      <c r="B23">
        <v>1795.6</v>
      </c>
    </row>
    <row r="24" spans="1:2" x14ac:dyDescent="0.3">
      <c r="A24" t="s">
        <v>71</v>
      </c>
      <c r="B24">
        <v>1643.3</v>
      </c>
    </row>
    <row r="25" spans="1:2" x14ac:dyDescent="0.3">
      <c r="A25" t="s">
        <v>31</v>
      </c>
      <c r="B25">
        <v>1495.8</v>
      </c>
    </row>
    <row r="26" spans="1:2" x14ac:dyDescent="0.3">
      <c r="A26" t="s">
        <v>36</v>
      </c>
      <c r="B26">
        <v>1371.9</v>
      </c>
    </row>
    <row r="27" spans="1:2" x14ac:dyDescent="0.3">
      <c r="A27" t="s">
        <v>14</v>
      </c>
      <c r="B27">
        <v>1338.8</v>
      </c>
    </row>
    <row r="28" spans="1:2" x14ac:dyDescent="0.3">
      <c r="A28" t="s">
        <v>25</v>
      </c>
      <c r="B28">
        <v>1338.7</v>
      </c>
    </row>
    <row r="29" spans="1:2" x14ac:dyDescent="0.3">
      <c r="A29" t="s">
        <v>47</v>
      </c>
      <c r="B29">
        <v>519.29999999999995</v>
      </c>
    </row>
    <row r="31" spans="1:2" x14ac:dyDescent="0.3">
      <c r="A31" t="s">
        <v>165</v>
      </c>
      <c r="B31" t="s">
        <v>173</v>
      </c>
    </row>
    <row r="32" spans="1:2" x14ac:dyDescent="0.3">
      <c r="A32" t="s">
        <v>1</v>
      </c>
      <c r="B32" t="s">
        <v>6</v>
      </c>
    </row>
    <row r="33" spans="1:2" x14ac:dyDescent="0.3">
      <c r="A33" t="s">
        <v>29</v>
      </c>
      <c r="B33">
        <v>7.42</v>
      </c>
    </row>
    <row r="34" spans="1:2" x14ac:dyDescent="0.3">
      <c r="A34" t="s">
        <v>12</v>
      </c>
      <c r="B34">
        <v>6.71</v>
      </c>
    </row>
    <row r="36" spans="1:2" x14ac:dyDescent="0.3">
      <c r="A36" t="s">
        <v>166</v>
      </c>
      <c r="B36" t="s">
        <v>173</v>
      </c>
    </row>
    <row r="37" spans="1:2" x14ac:dyDescent="0.3">
      <c r="A37" t="s">
        <v>3</v>
      </c>
      <c r="B37" t="s">
        <v>7</v>
      </c>
    </row>
    <row r="38" spans="1:2" x14ac:dyDescent="0.3">
      <c r="A38">
        <v>2015</v>
      </c>
      <c r="B38">
        <v>1897.6</v>
      </c>
    </row>
    <row r="39" spans="1:2" x14ac:dyDescent="0.3">
      <c r="A39">
        <v>2016</v>
      </c>
      <c r="B39">
        <v>2078.9</v>
      </c>
    </row>
    <row r="40" spans="1:2" x14ac:dyDescent="0.3">
      <c r="A40">
        <v>2017</v>
      </c>
      <c r="B40">
        <v>3174.9</v>
      </c>
    </row>
    <row r="41" spans="1:2" x14ac:dyDescent="0.3">
      <c r="A41">
        <v>2018</v>
      </c>
      <c r="B41">
        <v>2062.3000000000002</v>
      </c>
    </row>
    <row r="42" spans="1:2" x14ac:dyDescent="0.3">
      <c r="A42">
        <v>2019</v>
      </c>
      <c r="B42">
        <v>1462.6</v>
      </c>
    </row>
    <row r="43" spans="1:2" x14ac:dyDescent="0.3">
      <c r="A43">
        <v>2020</v>
      </c>
      <c r="B43">
        <v>2416.4</v>
      </c>
    </row>
    <row r="44" spans="1:2" x14ac:dyDescent="0.3">
      <c r="A44">
        <v>2021</v>
      </c>
      <c r="B44">
        <v>1147.5999999999999</v>
      </c>
    </row>
    <row r="45" spans="1:2" x14ac:dyDescent="0.3">
      <c r="A45">
        <v>2022</v>
      </c>
      <c r="B45">
        <v>1530.1</v>
      </c>
    </row>
    <row r="46" spans="1:2" x14ac:dyDescent="0.3">
      <c r="A46">
        <v>2023</v>
      </c>
      <c r="B46">
        <v>1701.6</v>
      </c>
    </row>
    <row r="47" spans="1:2" x14ac:dyDescent="0.3">
      <c r="A47">
        <v>2024</v>
      </c>
      <c r="B47">
        <v>2445.6</v>
      </c>
    </row>
    <row r="48" spans="1:2" x14ac:dyDescent="0.3">
      <c r="A48">
        <v>2025</v>
      </c>
      <c r="B48">
        <v>972.59999999999991</v>
      </c>
    </row>
  </sheetData>
  <pageMargins left="0.75" right="0.75" top="1" bottom="1" header="0.5" footer="0.5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4.4" x14ac:dyDescent="0.3"/>
  <cols>
    <col min="1" max="1" width="56.77734375" bestFit="1" customWidth="1"/>
  </cols>
  <sheetData>
    <row r="1" spans="1:1" x14ac:dyDescent="0.3">
      <c r="A1" t="s">
        <v>167</v>
      </c>
    </row>
    <row r="2" spans="1:1" x14ac:dyDescent="0.3">
      <c r="A2" t="s">
        <v>168</v>
      </c>
    </row>
    <row r="3" spans="1:1" x14ac:dyDescent="0.3">
      <c r="A3" t="s">
        <v>169</v>
      </c>
    </row>
    <row r="4" spans="1:1" x14ac:dyDescent="0.3">
      <c r="A4" t="s">
        <v>170</v>
      </c>
    </row>
    <row r="5" spans="1:1" x14ac:dyDescent="0.3">
      <c r="A5" t="s">
        <v>171</v>
      </c>
    </row>
    <row r="6" spans="1:1" x14ac:dyDescent="0.3">
      <c r="A6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Netflix Data</vt:lpstr>
      <vt:lpstr>Lists</vt:lpstr>
      <vt:lpstr>Charts</vt:lpstr>
      <vt:lpstr>Pivot Analysis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Dhriti Sharma</cp:lastModifiedBy>
  <dcterms:created xsi:type="dcterms:W3CDTF">2025-10-31T13:37:44Z</dcterms:created>
  <dcterms:modified xsi:type="dcterms:W3CDTF">2025-11-01T18:46:50Z</dcterms:modified>
</cp:coreProperties>
</file>